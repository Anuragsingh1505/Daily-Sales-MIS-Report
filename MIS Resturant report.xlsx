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639DE5C-940B-4A45-934D-8948A8F98795}" xr6:coauthVersionLast="47" xr6:coauthVersionMax="47" xr10:uidLastSave="{00000000-0000-0000-0000-000000000000}"/>
  <bookViews>
    <workbookView xWindow="-108" yWindow="-108" windowWidth="23256" windowHeight="12456" activeTab="13" xr2:uid="{FED2F625-99D6-495A-90ED-2BF57AE9F82C}"/>
  </bookViews>
  <sheets>
    <sheet name="HOME" sheetId="2" r:id="rId1"/>
    <sheet name="JAN" sheetId="1" r:id="rId2"/>
    <sheet name="FEB" sheetId="3" r:id="rId3"/>
    <sheet name="MAR" sheetId="4" r:id="rId4"/>
    <sheet name="APR" sheetId="5" r:id="rId5"/>
    <sheet name="MAY" sheetId="6" r:id="rId6"/>
    <sheet name="JUNE" sheetId="7" r:id="rId7"/>
    <sheet name="JULY" sheetId="8" r:id="rId8"/>
    <sheet name="AUG" sheetId="9" r:id="rId9"/>
    <sheet name="SEP" sheetId="10" r:id="rId10"/>
    <sheet name="OCT" sheetId="11" r:id="rId11"/>
    <sheet name="NOV" sheetId="12" r:id="rId12"/>
    <sheet name="DEC" sheetId="13" r:id="rId13"/>
    <sheet name="Consolidated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4" l="1"/>
  <c r="D13" i="14"/>
  <c r="D11" i="14"/>
  <c r="Q5" i="14"/>
  <c r="Q6" i="14"/>
  <c r="Q7" i="14"/>
  <c r="Q8" i="14"/>
  <c r="Q9" i="14"/>
  <c r="Q10" i="14"/>
  <c r="Q11" i="14"/>
  <c r="Q12" i="14"/>
  <c r="Q13" i="14"/>
  <c r="Q14" i="14"/>
  <c r="Q15" i="14"/>
  <c r="Q16" i="14"/>
  <c r="Q35" i="14" s="1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4" i="14"/>
  <c r="H5" i="14"/>
  <c r="J5" i="14" s="1"/>
  <c r="I5" i="14"/>
  <c r="K5" i="14"/>
  <c r="L5" i="14"/>
  <c r="M5" i="14"/>
  <c r="N5" i="14"/>
  <c r="R5" i="14" s="1"/>
  <c r="V5" i="14" s="1"/>
  <c r="O5" i="14"/>
  <c r="O35" i="14" s="1"/>
  <c r="P5" i="14"/>
  <c r="H6" i="14"/>
  <c r="R6" i="14" s="1"/>
  <c r="V6" i="14" s="1"/>
  <c r="I6" i="14"/>
  <c r="I35" i="14" s="1"/>
  <c r="J6" i="14"/>
  <c r="K6" i="14"/>
  <c r="M6" i="14" s="1"/>
  <c r="L6" i="14"/>
  <c r="N6" i="14"/>
  <c r="O6" i="14"/>
  <c r="P6" i="14"/>
  <c r="H7" i="14"/>
  <c r="R7" i="14" s="1"/>
  <c r="V7" i="14" s="1"/>
  <c r="I7" i="14"/>
  <c r="J7" i="14"/>
  <c r="K7" i="14"/>
  <c r="K35" i="14" s="1"/>
  <c r="D27" i="14" s="1"/>
  <c r="L7" i="14"/>
  <c r="M7" i="14"/>
  <c r="N7" i="14"/>
  <c r="P7" i="14" s="1"/>
  <c r="O7" i="14"/>
  <c r="H8" i="14"/>
  <c r="I8" i="14"/>
  <c r="J8" i="14"/>
  <c r="K8" i="14"/>
  <c r="L8" i="14"/>
  <c r="M8" i="14"/>
  <c r="N8" i="14"/>
  <c r="O8" i="14"/>
  <c r="P8" i="14"/>
  <c r="H9" i="14"/>
  <c r="J9" i="14" s="1"/>
  <c r="I9" i="14"/>
  <c r="K9" i="14"/>
  <c r="L9" i="14"/>
  <c r="M9" i="14"/>
  <c r="N9" i="14"/>
  <c r="O9" i="14"/>
  <c r="P9" i="14"/>
  <c r="H10" i="14"/>
  <c r="I10" i="14"/>
  <c r="J10" i="14"/>
  <c r="K10" i="14"/>
  <c r="M10" i="14" s="1"/>
  <c r="L10" i="14"/>
  <c r="N10" i="14"/>
  <c r="O10" i="14"/>
  <c r="P10" i="14"/>
  <c r="H11" i="14"/>
  <c r="I11" i="14"/>
  <c r="J11" i="14"/>
  <c r="K11" i="14"/>
  <c r="R11" i="14" s="1"/>
  <c r="V11" i="14" s="1"/>
  <c r="L11" i="14"/>
  <c r="M11" i="14"/>
  <c r="N11" i="14"/>
  <c r="P11" i="14" s="1"/>
  <c r="O11" i="14"/>
  <c r="H12" i="14"/>
  <c r="I12" i="14"/>
  <c r="J12" i="14"/>
  <c r="K12" i="14"/>
  <c r="L12" i="14"/>
  <c r="M12" i="14"/>
  <c r="N12" i="14"/>
  <c r="R12" i="14" s="1"/>
  <c r="V12" i="14" s="1"/>
  <c r="O12" i="14"/>
  <c r="P12" i="14"/>
  <c r="H13" i="14"/>
  <c r="J13" i="14" s="1"/>
  <c r="I13" i="14"/>
  <c r="K13" i="14"/>
  <c r="L13" i="14"/>
  <c r="M13" i="14"/>
  <c r="N13" i="14"/>
  <c r="O13" i="14"/>
  <c r="P13" i="14"/>
  <c r="H14" i="14"/>
  <c r="R14" i="14" s="1"/>
  <c r="I14" i="14"/>
  <c r="J14" i="14"/>
  <c r="K14" i="14"/>
  <c r="M14" i="14" s="1"/>
  <c r="L14" i="14"/>
  <c r="N14" i="14"/>
  <c r="O14" i="14"/>
  <c r="P14" i="14"/>
  <c r="H15" i="14"/>
  <c r="R15" i="14" s="1"/>
  <c r="S15" i="14" s="1"/>
  <c r="T15" i="14" s="1"/>
  <c r="I15" i="14"/>
  <c r="J15" i="14"/>
  <c r="K15" i="14"/>
  <c r="L15" i="14"/>
  <c r="M15" i="14"/>
  <c r="N15" i="14"/>
  <c r="P15" i="14" s="1"/>
  <c r="O15" i="14"/>
  <c r="H16" i="14"/>
  <c r="I16" i="14"/>
  <c r="J16" i="14"/>
  <c r="K16" i="14"/>
  <c r="R16" i="14" s="1"/>
  <c r="L16" i="14"/>
  <c r="M16" i="14"/>
  <c r="N16" i="14"/>
  <c r="O16" i="14"/>
  <c r="P16" i="14"/>
  <c r="H17" i="14"/>
  <c r="J17" i="14" s="1"/>
  <c r="I17" i="14"/>
  <c r="K17" i="14"/>
  <c r="L17" i="14"/>
  <c r="M17" i="14"/>
  <c r="N17" i="14"/>
  <c r="O17" i="14"/>
  <c r="P17" i="14"/>
  <c r="H18" i="14"/>
  <c r="R18" i="14" s="1"/>
  <c r="U18" i="14" s="1"/>
  <c r="I18" i="14"/>
  <c r="J18" i="14"/>
  <c r="K18" i="14"/>
  <c r="M18" i="14" s="1"/>
  <c r="L18" i="14"/>
  <c r="N18" i="14"/>
  <c r="O18" i="14"/>
  <c r="P18" i="14"/>
  <c r="H19" i="14"/>
  <c r="R19" i="14" s="1"/>
  <c r="V19" i="14" s="1"/>
  <c r="I19" i="14"/>
  <c r="J19" i="14"/>
  <c r="K19" i="14"/>
  <c r="L19" i="14"/>
  <c r="M19" i="14"/>
  <c r="N19" i="14"/>
  <c r="P19" i="14" s="1"/>
  <c r="O19" i="14"/>
  <c r="H20" i="14"/>
  <c r="I20" i="14"/>
  <c r="J20" i="14"/>
  <c r="K20" i="14"/>
  <c r="L20" i="14"/>
  <c r="M20" i="14"/>
  <c r="N20" i="14"/>
  <c r="O20" i="14"/>
  <c r="P20" i="14"/>
  <c r="H21" i="14"/>
  <c r="J21" i="14" s="1"/>
  <c r="I21" i="14"/>
  <c r="K21" i="14"/>
  <c r="L21" i="14"/>
  <c r="M21" i="14"/>
  <c r="N21" i="14"/>
  <c r="O21" i="14"/>
  <c r="P21" i="14"/>
  <c r="H22" i="14"/>
  <c r="I22" i="14"/>
  <c r="J22" i="14"/>
  <c r="K22" i="14"/>
  <c r="M22" i="14" s="1"/>
  <c r="L22" i="14"/>
  <c r="N22" i="14"/>
  <c r="O22" i="14"/>
  <c r="P22" i="14"/>
  <c r="H23" i="14"/>
  <c r="I23" i="14"/>
  <c r="J23" i="14"/>
  <c r="K23" i="14"/>
  <c r="R23" i="14" s="1"/>
  <c r="S23" i="14" s="1"/>
  <c r="T23" i="14" s="1"/>
  <c r="L23" i="14"/>
  <c r="M23" i="14"/>
  <c r="N23" i="14"/>
  <c r="P23" i="14" s="1"/>
  <c r="O23" i="14"/>
  <c r="H24" i="14"/>
  <c r="I24" i="14"/>
  <c r="J24" i="14"/>
  <c r="K24" i="14"/>
  <c r="L24" i="14"/>
  <c r="M24" i="14"/>
  <c r="N24" i="14"/>
  <c r="R24" i="14" s="1"/>
  <c r="O24" i="14"/>
  <c r="P24" i="14"/>
  <c r="H25" i="14"/>
  <c r="J25" i="14" s="1"/>
  <c r="I25" i="14"/>
  <c r="K25" i="14"/>
  <c r="L25" i="14"/>
  <c r="M25" i="14"/>
  <c r="N25" i="14"/>
  <c r="O25" i="14"/>
  <c r="P25" i="14"/>
  <c r="H26" i="14"/>
  <c r="R26" i="14" s="1"/>
  <c r="I26" i="14"/>
  <c r="J26" i="14"/>
  <c r="K26" i="14"/>
  <c r="M26" i="14" s="1"/>
  <c r="L26" i="14"/>
  <c r="N26" i="14"/>
  <c r="O26" i="14"/>
  <c r="P26" i="14"/>
  <c r="H27" i="14"/>
  <c r="R27" i="14" s="1"/>
  <c r="I27" i="14"/>
  <c r="J27" i="14"/>
  <c r="K27" i="14"/>
  <c r="L27" i="14"/>
  <c r="M27" i="14"/>
  <c r="N27" i="14"/>
  <c r="P27" i="14" s="1"/>
  <c r="O27" i="14"/>
  <c r="H28" i="14"/>
  <c r="I28" i="14"/>
  <c r="J28" i="14"/>
  <c r="K28" i="14"/>
  <c r="R28" i="14" s="1"/>
  <c r="L28" i="14"/>
  <c r="M28" i="14"/>
  <c r="N28" i="14"/>
  <c r="O28" i="14"/>
  <c r="P28" i="14"/>
  <c r="H29" i="14"/>
  <c r="J29" i="14" s="1"/>
  <c r="I29" i="14"/>
  <c r="K29" i="14"/>
  <c r="L29" i="14"/>
  <c r="M29" i="14"/>
  <c r="N29" i="14"/>
  <c r="O29" i="14"/>
  <c r="P29" i="14"/>
  <c r="H30" i="14"/>
  <c r="R30" i="14" s="1"/>
  <c r="V30" i="14" s="1"/>
  <c r="I30" i="14"/>
  <c r="J30" i="14"/>
  <c r="K30" i="14"/>
  <c r="M30" i="14" s="1"/>
  <c r="L30" i="14"/>
  <c r="N30" i="14"/>
  <c r="P30" i="14" s="1"/>
  <c r="O30" i="14"/>
  <c r="H31" i="14"/>
  <c r="R31" i="14" s="1"/>
  <c r="V31" i="14" s="1"/>
  <c r="I31" i="14"/>
  <c r="J31" i="14"/>
  <c r="K31" i="14"/>
  <c r="L31" i="14"/>
  <c r="M31" i="14"/>
  <c r="N31" i="14"/>
  <c r="P31" i="14" s="1"/>
  <c r="O31" i="14"/>
  <c r="H32" i="14"/>
  <c r="I32" i="14"/>
  <c r="J32" i="14"/>
  <c r="K32" i="14"/>
  <c r="L32" i="14"/>
  <c r="M32" i="14"/>
  <c r="N32" i="14"/>
  <c r="O32" i="14"/>
  <c r="P32" i="14"/>
  <c r="H33" i="14"/>
  <c r="J33" i="14" s="1"/>
  <c r="I33" i="14"/>
  <c r="K33" i="14"/>
  <c r="L33" i="14"/>
  <c r="M33" i="14"/>
  <c r="N33" i="14"/>
  <c r="O33" i="14"/>
  <c r="P33" i="14"/>
  <c r="H34" i="14"/>
  <c r="R34" i="14" s="1"/>
  <c r="S34" i="14" s="1"/>
  <c r="T34" i="14" s="1"/>
  <c r="I34" i="14"/>
  <c r="J34" i="14"/>
  <c r="K34" i="14"/>
  <c r="M34" i="14" s="1"/>
  <c r="L34" i="14"/>
  <c r="N34" i="14"/>
  <c r="O34" i="14"/>
  <c r="P34" i="14"/>
  <c r="P4" i="14"/>
  <c r="M4" i="14"/>
  <c r="J4" i="14"/>
  <c r="I4" i="14"/>
  <c r="K4" i="14"/>
  <c r="L4" i="14"/>
  <c r="L35" i="14" s="1"/>
  <c r="N4" i="14"/>
  <c r="R4" i="14" s="1"/>
  <c r="O4" i="14"/>
  <c r="H4" i="14"/>
  <c r="R33" i="14"/>
  <c r="S33" i="14" s="1"/>
  <c r="T33" i="14" s="1"/>
  <c r="R32" i="14"/>
  <c r="R25" i="14"/>
  <c r="R22" i="14"/>
  <c r="R21" i="14"/>
  <c r="V21" i="14" s="1"/>
  <c r="R20" i="14"/>
  <c r="V20" i="14" s="1"/>
  <c r="R13" i="14"/>
  <c r="R10" i="14"/>
  <c r="V10" i="14" s="1"/>
  <c r="R9" i="14"/>
  <c r="S9" i="14" s="1"/>
  <c r="T9" i="14" s="1"/>
  <c r="R8" i="14"/>
  <c r="S8" i="14" s="1"/>
  <c r="T8" i="14" s="1"/>
  <c r="S35" i="13"/>
  <c r="Q35" i="13"/>
  <c r="P35" i="13"/>
  <c r="N35" i="13"/>
  <c r="M35" i="13"/>
  <c r="D27" i="13" s="1"/>
  <c r="K35" i="13"/>
  <c r="J35" i="13"/>
  <c r="X34" i="13"/>
  <c r="W34" i="13"/>
  <c r="T34" i="13"/>
  <c r="U34" i="13" s="1"/>
  <c r="V34" i="13" s="1"/>
  <c r="R34" i="13"/>
  <c r="O34" i="13"/>
  <c r="L34" i="13"/>
  <c r="X33" i="13"/>
  <c r="W33" i="13"/>
  <c r="T33" i="13"/>
  <c r="U33" i="13" s="1"/>
  <c r="V33" i="13" s="1"/>
  <c r="R33" i="13"/>
  <c r="O33" i="13"/>
  <c r="L33" i="13"/>
  <c r="X32" i="13"/>
  <c r="W32" i="13"/>
  <c r="U32" i="13"/>
  <c r="V32" i="13" s="1"/>
  <c r="T32" i="13"/>
  <c r="R32" i="13"/>
  <c r="O32" i="13"/>
  <c r="L32" i="13"/>
  <c r="X31" i="13"/>
  <c r="W31" i="13"/>
  <c r="U31" i="13"/>
  <c r="V31" i="13" s="1"/>
  <c r="T31" i="13"/>
  <c r="R31" i="13"/>
  <c r="O31" i="13"/>
  <c r="L31" i="13"/>
  <c r="U30" i="13"/>
  <c r="V30" i="13" s="1"/>
  <c r="T30" i="13"/>
  <c r="X30" i="13" s="1"/>
  <c r="R30" i="13"/>
  <c r="O30" i="13"/>
  <c r="L30" i="13"/>
  <c r="T29" i="13"/>
  <c r="X29" i="13" s="1"/>
  <c r="R29" i="13"/>
  <c r="O29" i="13"/>
  <c r="L29" i="13"/>
  <c r="T28" i="13"/>
  <c r="X28" i="13" s="1"/>
  <c r="R28" i="13"/>
  <c r="O28" i="13"/>
  <c r="L28" i="13"/>
  <c r="D28" i="13"/>
  <c r="T27" i="13"/>
  <c r="X27" i="13" s="1"/>
  <c r="R27" i="13"/>
  <c r="O27" i="13"/>
  <c r="L27" i="13"/>
  <c r="X26" i="13"/>
  <c r="T26" i="13"/>
  <c r="W26" i="13" s="1"/>
  <c r="R26" i="13"/>
  <c r="O26" i="13"/>
  <c r="L26" i="13"/>
  <c r="D26" i="13"/>
  <c r="D30" i="13" s="1"/>
  <c r="X25" i="13"/>
  <c r="W25" i="13"/>
  <c r="T25" i="13"/>
  <c r="U25" i="13" s="1"/>
  <c r="V25" i="13" s="1"/>
  <c r="R25" i="13"/>
  <c r="O25" i="13"/>
  <c r="L25" i="13"/>
  <c r="X24" i="13"/>
  <c r="W24" i="13"/>
  <c r="U24" i="13"/>
  <c r="V24" i="13" s="1"/>
  <c r="T24" i="13"/>
  <c r="R24" i="13"/>
  <c r="O24" i="13"/>
  <c r="L24" i="13"/>
  <c r="T23" i="13"/>
  <c r="X23" i="13" s="1"/>
  <c r="R23" i="13"/>
  <c r="O23" i="13"/>
  <c r="L23" i="13"/>
  <c r="T22" i="13"/>
  <c r="X22" i="13" s="1"/>
  <c r="R22" i="13"/>
  <c r="O22" i="13"/>
  <c r="L22" i="13"/>
  <c r="U21" i="13"/>
  <c r="V21" i="13" s="1"/>
  <c r="T21" i="13"/>
  <c r="X21" i="13" s="1"/>
  <c r="R21" i="13"/>
  <c r="O21" i="13"/>
  <c r="L21" i="13"/>
  <c r="T20" i="13"/>
  <c r="X20" i="13" s="1"/>
  <c r="R20" i="13"/>
  <c r="O20" i="13"/>
  <c r="L20" i="13"/>
  <c r="T19" i="13"/>
  <c r="X19" i="13" s="1"/>
  <c r="R19" i="13"/>
  <c r="O19" i="13"/>
  <c r="L19" i="13"/>
  <c r="X18" i="13"/>
  <c r="T18" i="13"/>
  <c r="W18" i="13" s="1"/>
  <c r="R18" i="13"/>
  <c r="O18" i="13"/>
  <c r="L18" i="13"/>
  <c r="X17" i="13"/>
  <c r="W17" i="13"/>
  <c r="T17" i="13"/>
  <c r="U17" i="13" s="1"/>
  <c r="V17" i="13" s="1"/>
  <c r="R17" i="13"/>
  <c r="O17" i="13"/>
  <c r="L17" i="13"/>
  <c r="X16" i="13"/>
  <c r="W16" i="13"/>
  <c r="U16" i="13"/>
  <c r="V16" i="13" s="1"/>
  <c r="T16" i="13"/>
  <c r="R16" i="13"/>
  <c r="O16" i="13"/>
  <c r="L16" i="13"/>
  <c r="T15" i="13"/>
  <c r="X15" i="13" s="1"/>
  <c r="R15" i="13"/>
  <c r="O15" i="13"/>
  <c r="L15" i="13"/>
  <c r="T14" i="13"/>
  <c r="X14" i="13" s="1"/>
  <c r="R14" i="13"/>
  <c r="O14" i="13"/>
  <c r="L14" i="13"/>
  <c r="U13" i="13"/>
  <c r="V13" i="13" s="1"/>
  <c r="T13" i="13"/>
  <c r="X13" i="13" s="1"/>
  <c r="R13" i="13"/>
  <c r="O13" i="13"/>
  <c r="L13" i="13"/>
  <c r="T12" i="13"/>
  <c r="X12" i="13" s="1"/>
  <c r="R12" i="13"/>
  <c r="O12" i="13"/>
  <c r="L12" i="13"/>
  <c r="W11" i="13"/>
  <c r="T11" i="13"/>
  <c r="X11" i="13" s="1"/>
  <c r="R11" i="13"/>
  <c r="O11" i="13"/>
  <c r="L11" i="13"/>
  <c r="U10" i="13"/>
  <c r="V10" i="13" s="1"/>
  <c r="T10" i="13"/>
  <c r="X10" i="13" s="1"/>
  <c r="R10" i="13"/>
  <c r="O10" i="13"/>
  <c r="L10" i="13"/>
  <c r="W9" i="13"/>
  <c r="T9" i="13"/>
  <c r="U9" i="13" s="1"/>
  <c r="V9" i="13" s="1"/>
  <c r="R9" i="13"/>
  <c r="O9" i="13"/>
  <c r="L9" i="13"/>
  <c r="X8" i="13"/>
  <c r="W8" i="13"/>
  <c r="T8" i="13"/>
  <c r="U8" i="13" s="1"/>
  <c r="V8" i="13" s="1"/>
  <c r="R8" i="13"/>
  <c r="O8" i="13"/>
  <c r="L8" i="13"/>
  <c r="T7" i="13"/>
  <c r="X7" i="13" s="1"/>
  <c r="R7" i="13"/>
  <c r="O7" i="13"/>
  <c r="L7" i="13"/>
  <c r="D7" i="13"/>
  <c r="D9" i="13" s="1"/>
  <c r="X6" i="13"/>
  <c r="W6" i="13"/>
  <c r="U6" i="13"/>
  <c r="V6" i="13" s="1"/>
  <c r="T6" i="13"/>
  <c r="R6" i="13"/>
  <c r="O6" i="13"/>
  <c r="L6" i="13"/>
  <c r="U5" i="13"/>
  <c r="V5" i="13" s="1"/>
  <c r="T5" i="13"/>
  <c r="X5" i="13" s="1"/>
  <c r="R5" i="13"/>
  <c r="O5" i="13"/>
  <c r="L5" i="13"/>
  <c r="X4" i="13"/>
  <c r="W4" i="13"/>
  <c r="U4" i="13"/>
  <c r="T4" i="13"/>
  <c r="T35" i="13" s="1"/>
  <c r="R4" i="13"/>
  <c r="O4" i="13"/>
  <c r="L4" i="13"/>
  <c r="S35" i="12"/>
  <c r="Q35" i="12"/>
  <c r="P35" i="12"/>
  <c r="N35" i="12"/>
  <c r="M35" i="12"/>
  <c r="K35" i="12"/>
  <c r="J35" i="12"/>
  <c r="X34" i="12"/>
  <c r="W34" i="12"/>
  <c r="U34" i="12"/>
  <c r="V34" i="12" s="1"/>
  <c r="T34" i="12"/>
  <c r="R34" i="12"/>
  <c r="O34" i="12"/>
  <c r="L34" i="12"/>
  <c r="X33" i="12"/>
  <c r="W33" i="12"/>
  <c r="T33" i="12"/>
  <c r="U33" i="12" s="1"/>
  <c r="V33" i="12" s="1"/>
  <c r="R33" i="12"/>
  <c r="O33" i="12"/>
  <c r="L33" i="12"/>
  <c r="X32" i="12"/>
  <c r="W32" i="12"/>
  <c r="U32" i="12"/>
  <c r="V32" i="12" s="1"/>
  <c r="T32" i="12"/>
  <c r="R32" i="12"/>
  <c r="O32" i="12"/>
  <c r="L32" i="12"/>
  <c r="U31" i="12"/>
  <c r="V31" i="12" s="1"/>
  <c r="T31" i="12"/>
  <c r="X31" i="12" s="1"/>
  <c r="R31" i="12"/>
  <c r="O31" i="12"/>
  <c r="L31" i="12"/>
  <c r="X30" i="12"/>
  <c r="T30" i="12"/>
  <c r="W30" i="12" s="1"/>
  <c r="R30" i="12"/>
  <c r="O30" i="12"/>
  <c r="L30" i="12"/>
  <c r="W29" i="12"/>
  <c r="U29" i="12"/>
  <c r="V29" i="12" s="1"/>
  <c r="T29" i="12"/>
  <c r="X29" i="12" s="1"/>
  <c r="R29" i="12"/>
  <c r="O29" i="12"/>
  <c r="L29" i="12"/>
  <c r="U28" i="12"/>
  <c r="V28" i="12" s="1"/>
  <c r="T28" i="12"/>
  <c r="X28" i="12" s="1"/>
  <c r="R28" i="12"/>
  <c r="O28" i="12"/>
  <c r="L28" i="12"/>
  <c r="D28" i="12"/>
  <c r="T27" i="12"/>
  <c r="X27" i="12" s="1"/>
  <c r="R27" i="12"/>
  <c r="O27" i="12"/>
  <c r="L27" i="12"/>
  <c r="D27" i="12"/>
  <c r="X26" i="12"/>
  <c r="T26" i="12"/>
  <c r="W26" i="12" s="1"/>
  <c r="R26" i="12"/>
  <c r="O26" i="12"/>
  <c r="L26" i="12"/>
  <c r="D26" i="12"/>
  <c r="D30" i="12" s="1"/>
  <c r="X25" i="12"/>
  <c r="W25" i="12"/>
  <c r="U25" i="12"/>
  <c r="V25" i="12" s="1"/>
  <c r="T25" i="12"/>
  <c r="R25" i="12"/>
  <c r="O25" i="12"/>
  <c r="L25" i="12"/>
  <c r="X24" i="12"/>
  <c r="W24" i="12"/>
  <c r="U24" i="12"/>
  <c r="V24" i="12" s="1"/>
  <c r="T24" i="12"/>
  <c r="R24" i="12"/>
  <c r="O24" i="12"/>
  <c r="L24" i="12"/>
  <c r="T23" i="12"/>
  <c r="X23" i="12" s="1"/>
  <c r="R23" i="12"/>
  <c r="O23" i="12"/>
  <c r="L23" i="12"/>
  <c r="T22" i="12"/>
  <c r="X22" i="12" s="1"/>
  <c r="R22" i="12"/>
  <c r="O22" i="12"/>
  <c r="L22" i="12"/>
  <c r="X21" i="12"/>
  <c r="T21" i="12"/>
  <c r="W21" i="12" s="1"/>
  <c r="R21" i="12"/>
  <c r="O21" i="12"/>
  <c r="L21" i="12"/>
  <c r="T20" i="12"/>
  <c r="X20" i="12" s="1"/>
  <c r="R20" i="12"/>
  <c r="O20" i="12"/>
  <c r="L20" i="12"/>
  <c r="X19" i="12"/>
  <c r="U19" i="12"/>
  <c r="V19" i="12" s="1"/>
  <c r="T19" i="12"/>
  <c r="W19" i="12" s="1"/>
  <c r="R19" i="12"/>
  <c r="O19" i="12"/>
  <c r="L19" i="12"/>
  <c r="X18" i="12"/>
  <c r="T18" i="12"/>
  <c r="W18" i="12" s="1"/>
  <c r="R18" i="12"/>
  <c r="O18" i="12"/>
  <c r="L18" i="12"/>
  <c r="X17" i="12"/>
  <c r="W17" i="12"/>
  <c r="U17" i="12"/>
  <c r="V17" i="12" s="1"/>
  <c r="T17" i="12"/>
  <c r="R17" i="12"/>
  <c r="O17" i="12"/>
  <c r="L17" i="12"/>
  <c r="X16" i="12"/>
  <c r="W16" i="12"/>
  <c r="U16" i="12"/>
  <c r="V16" i="12" s="1"/>
  <c r="T16" i="12"/>
  <c r="R16" i="12"/>
  <c r="O16" i="12"/>
  <c r="L16" i="12"/>
  <c r="T15" i="12"/>
  <c r="X15" i="12" s="1"/>
  <c r="R15" i="12"/>
  <c r="O15" i="12"/>
  <c r="L15" i="12"/>
  <c r="T14" i="12"/>
  <c r="X14" i="12" s="1"/>
  <c r="R14" i="12"/>
  <c r="O14" i="12"/>
  <c r="L14" i="12"/>
  <c r="X13" i="12"/>
  <c r="T13" i="12"/>
  <c r="W13" i="12" s="1"/>
  <c r="R13" i="12"/>
  <c r="O13" i="12"/>
  <c r="L13" i="12"/>
  <c r="W12" i="12"/>
  <c r="U12" i="12"/>
  <c r="V12" i="12" s="1"/>
  <c r="T12" i="12"/>
  <c r="X12" i="12" s="1"/>
  <c r="R12" i="12"/>
  <c r="O12" i="12"/>
  <c r="L12" i="12"/>
  <c r="X11" i="12"/>
  <c r="W11" i="12"/>
  <c r="U11" i="12"/>
  <c r="V11" i="12" s="1"/>
  <c r="T11" i="12"/>
  <c r="R11" i="12"/>
  <c r="O11" i="12"/>
  <c r="L11" i="12"/>
  <c r="T10" i="12"/>
  <c r="X10" i="12" s="1"/>
  <c r="R10" i="12"/>
  <c r="O10" i="12"/>
  <c r="L10" i="12"/>
  <c r="X9" i="12"/>
  <c r="W9" i="12"/>
  <c r="T9" i="12"/>
  <c r="U9" i="12" s="1"/>
  <c r="V9" i="12" s="1"/>
  <c r="R9" i="12"/>
  <c r="O9" i="12"/>
  <c r="L9" i="12"/>
  <c r="X8" i="12"/>
  <c r="W8" i="12"/>
  <c r="T8" i="12"/>
  <c r="U8" i="12" s="1"/>
  <c r="V8" i="12" s="1"/>
  <c r="R8" i="12"/>
  <c r="O8" i="12"/>
  <c r="L8" i="12"/>
  <c r="T7" i="12"/>
  <c r="X7" i="12" s="1"/>
  <c r="R7" i="12"/>
  <c r="O7" i="12"/>
  <c r="L7" i="12"/>
  <c r="D7" i="12"/>
  <c r="D9" i="12" s="1"/>
  <c r="U6" i="12"/>
  <c r="V6" i="12" s="1"/>
  <c r="T6" i="12"/>
  <c r="X6" i="12" s="1"/>
  <c r="R6" i="12"/>
  <c r="O6" i="12"/>
  <c r="L6" i="12"/>
  <c r="X5" i="12"/>
  <c r="T5" i="12"/>
  <c r="W5" i="12" s="1"/>
  <c r="R5" i="12"/>
  <c r="O5" i="12"/>
  <c r="L5" i="12"/>
  <c r="T4" i="12"/>
  <c r="T35" i="12" s="1"/>
  <c r="R4" i="12"/>
  <c r="O4" i="12"/>
  <c r="L4" i="12"/>
  <c r="S35" i="11"/>
  <c r="Q35" i="11"/>
  <c r="P35" i="11"/>
  <c r="N35" i="11"/>
  <c r="M35" i="11"/>
  <c r="K35" i="11"/>
  <c r="J35" i="11"/>
  <c r="X34" i="11"/>
  <c r="W34" i="11"/>
  <c r="T34" i="11"/>
  <c r="U34" i="11" s="1"/>
  <c r="V34" i="11" s="1"/>
  <c r="R34" i="11"/>
  <c r="O34" i="11"/>
  <c r="L34" i="11"/>
  <c r="X33" i="11"/>
  <c r="W33" i="11"/>
  <c r="T33" i="11"/>
  <c r="U33" i="11" s="1"/>
  <c r="V33" i="11" s="1"/>
  <c r="R33" i="11"/>
  <c r="O33" i="11"/>
  <c r="L33" i="11"/>
  <c r="X32" i="11"/>
  <c r="W32" i="11"/>
  <c r="U32" i="11"/>
  <c r="V32" i="11" s="1"/>
  <c r="T32" i="11"/>
  <c r="R32" i="11"/>
  <c r="O32" i="11"/>
  <c r="L32" i="11"/>
  <c r="T31" i="11"/>
  <c r="U31" i="11" s="1"/>
  <c r="V31" i="11" s="1"/>
  <c r="R31" i="11"/>
  <c r="O31" i="11"/>
  <c r="L31" i="11"/>
  <c r="T30" i="11"/>
  <c r="X30" i="11" s="1"/>
  <c r="R30" i="11"/>
  <c r="O30" i="11"/>
  <c r="L30" i="11"/>
  <c r="T29" i="11"/>
  <c r="X29" i="11" s="1"/>
  <c r="R29" i="11"/>
  <c r="O29" i="11"/>
  <c r="L29" i="11"/>
  <c r="T28" i="11"/>
  <c r="X28" i="11" s="1"/>
  <c r="R28" i="11"/>
  <c r="O28" i="11"/>
  <c r="L28" i="11"/>
  <c r="D28" i="11"/>
  <c r="T27" i="11"/>
  <c r="X27" i="11" s="1"/>
  <c r="R27" i="11"/>
  <c r="O27" i="11"/>
  <c r="L27" i="11"/>
  <c r="D27" i="11"/>
  <c r="X26" i="11"/>
  <c r="T26" i="11"/>
  <c r="W26" i="11" s="1"/>
  <c r="R26" i="11"/>
  <c r="O26" i="11"/>
  <c r="L26" i="11"/>
  <c r="D26" i="11"/>
  <c r="D30" i="11" s="1"/>
  <c r="X25" i="11"/>
  <c r="W25" i="11"/>
  <c r="T25" i="11"/>
  <c r="U25" i="11" s="1"/>
  <c r="V25" i="11" s="1"/>
  <c r="R25" i="11"/>
  <c r="O25" i="11"/>
  <c r="L25" i="11"/>
  <c r="X24" i="11"/>
  <c r="W24" i="11"/>
  <c r="U24" i="11"/>
  <c r="V24" i="11" s="1"/>
  <c r="T24" i="11"/>
  <c r="R24" i="11"/>
  <c r="O24" i="11"/>
  <c r="L24" i="11"/>
  <c r="T23" i="11"/>
  <c r="X23" i="11" s="1"/>
  <c r="R23" i="11"/>
  <c r="O23" i="11"/>
  <c r="L23" i="11"/>
  <c r="T22" i="11"/>
  <c r="X22" i="11" s="1"/>
  <c r="R22" i="11"/>
  <c r="O22" i="11"/>
  <c r="L22" i="11"/>
  <c r="T21" i="11"/>
  <c r="X21" i="11" s="1"/>
  <c r="R21" i="11"/>
  <c r="O21" i="11"/>
  <c r="L21" i="11"/>
  <c r="U20" i="11"/>
  <c r="V20" i="11" s="1"/>
  <c r="T20" i="11"/>
  <c r="X20" i="11" s="1"/>
  <c r="R20" i="11"/>
  <c r="O20" i="11"/>
  <c r="L20" i="11"/>
  <c r="T19" i="11"/>
  <c r="X19" i="11" s="1"/>
  <c r="R19" i="11"/>
  <c r="O19" i="11"/>
  <c r="L19" i="11"/>
  <c r="X18" i="11"/>
  <c r="T18" i="11"/>
  <c r="W18" i="11" s="1"/>
  <c r="R18" i="11"/>
  <c r="O18" i="11"/>
  <c r="L18" i="11"/>
  <c r="X17" i="11"/>
  <c r="W17" i="11"/>
  <c r="T17" i="11"/>
  <c r="U17" i="11" s="1"/>
  <c r="V17" i="11" s="1"/>
  <c r="R17" i="11"/>
  <c r="O17" i="11"/>
  <c r="L17" i="11"/>
  <c r="X16" i="11"/>
  <c r="W16" i="11"/>
  <c r="U16" i="11"/>
  <c r="V16" i="11" s="1"/>
  <c r="T16" i="11"/>
  <c r="R16" i="11"/>
  <c r="O16" i="11"/>
  <c r="L16" i="11"/>
  <c r="T15" i="11"/>
  <c r="X15" i="11" s="1"/>
  <c r="R15" i="11"/>
  <c r="O15" i="11"/>
  <c r="L15" i="11"/>
  <c r="T14" i="11"/>
  <c r="X14" i="11" s="1"/>
  <c r="R14" i="11"/>
  <c r="O14" i="11"/>
  <c r="L14" i="11"/>
  <c r="W13" i="11"/>
  <c r="T13" i="11"/>
  <c r="X13" i="11" s="1"/>
  <c r="R13" i="11"/>
  <c r="O13" i="11"/>
  <c r="L13" i="11"/>
  <c r="T12" i="11"/>
  <c r="X12" i="11" s="1"/>
  <c r="R12" i="11"/>
  <c r="O12" i="11"/>
  <c r="L12" i="11"/>
  <c r="T11" i="11"/>
  <c r="X11" i="11" s="1"/>
  <c r="R11" i="11"/>
  <c r="O11" i="11"/>
  <c r="L11" i="11"/>
  <c r="U10" i="11"/>
  <c r="V10" i="11" s="1"/>
  <c r="T10" i="11"/>
  <c r="X10" i="11" s="1"/>
  <c r="R10" i="11"/>
  <c r="O10" i="11"/>
  <c r="L10" i="11"/>
  <c r="X9" i="11"/>
  <c r="W9" i="11"/>
  <c r="T9" i="11"/>
  <c r="U9" i="11" s="1"/>
  <c r="V9" i="11" s="1"/>
  <c r="R9" i="11"/>
  <c r="O9" i="11"/>
  <c r="L9" i="11"/>
  <c r="X8" i="11"/>
  <c r="W8" i="11"/>
  <c r="T8" i="11"/>
  <c r="U8" i="11" s="1"/>
  <c r="V8" i="11" s="1"/>
  <c r="R8" i="11"/>
  <c r="O8" i="11"/>
  <c r="L8" i="11"/>
  <c r="T7" i="11"/>
  <c r="X7" i="11" s="1"/>
  <c r="R7" i="11"/>
  <c r="O7" i="11"/>
  <c r="L7" i="11"/>
  <c r="D7" i="11"/>
  <c r="D9" i="11" s="1"/>
  <c r="T6" i="11"/>
  <c r="X6" i="11" s="1"/>
  <c r="R6" i="11"/>
  <c r="O6" i="11"/>
  <c r="L6" i="11"/>
  <c r="W5" i="11"/>
  <c r="T5" i="11"/>
  <c r="X5" i="11" s="1"/>
  <c r="R5" i="11"/>
  <c r="O5" i="11"/>
  <c r="L5" i="11"/>
  <c r="U4" i="11"/>
  <c r="T4" i="11"/>
  <c r="T35" i="11" s="1"/>
  <c r="R4" i="11"/>
  <c r="O4" i="11"/>
  <c r="L4" i="11"/>
  <c r="H4" i="11"/>
  <c r="H5" i="11" s="1"/>
  <c r="S35" i="10"/>
  <c r="Q35" i="10"/>
  <c r="P35" i="10"/>
  <c r="N35" i="10"/>
  <c r="M35" i="10"/>
  <c r="K35" i="10"/>
  <c r="J35" i="10"/>
  <c r="X34" i="10"/>
  <c r="W34" i="10"/>
  <c r="T34" i="10"/>
  <c r="U34" i="10" s="1"/>
  <c r="V34" i="10" s="1"/>
  <c r="R34" i="10"/>
  <c r="O34" i="10"/>
  <c r="L34" i="10"/>
  <c r="X33" i="10"/>
  <c r="W33" i="10"/>
  <c r="T33" i="10"/>
  <c r="U33" i="10" s="1"/>
  <c r="V33" i="10" s="1"/>
  <c r="R33" i="10"/>
  <c r="O33" i="10"/>
  <c r="L33" i="10"/>
  <c r="X32" i="10"/>
  <c r="W32" i="10"/>
  <c r="U32" i="10"/>
  <c r="V32" i="10" s="1"/>
  <c r="T32" i="10"/>
  <c r="R32" i="10"/>
  <c r="O32" i="10"/>
  <c r="L32" i="10"/>
  <c r="U31" i="10"/>
  <c r="V31" i="10" s="1"/>
  <c r="T31" i="10"/>
  <c r="X31" i="10" s="1"/>
  <c r="R31" i="10"/>
  <c r="O31" i="10"/>
  <c r="L31" i="10"/>
  <c r="T30" i="10"/>
  <c r="X30" i="10" s="1"/>
  <c r="R30" i="10"/>
  <c r="O30" i="10"/>
  <c r="L30" i="10"/>
  <c r="T29" i="10"/>
  <c r="X29" i="10" s="1"/>
  <c r="R29" i="10"/>
  <c r="O29" i="10"/>
  <c r="L29" i="10"/>
  <c r="T28" i="10"/>
  <c r="X28" i="10" s="1"/>
  <c r="R28" i="10"/>
  <c r="O28" i="10"/>
  <c r="L28" i="10"/>
  <c r="D28" i="10"/>
  <c r="T27" i="10"/>
  <c r="X27" i="10" s="1"/>
  <c r="R27" i="10"/>
  <c r="O27" i="10"/>
  <c r="L27" i="10"/>
  <c r="D27" i="10"/>
  <c r="X26" i="10"/>
  <c r="T26" i="10"/>
  <c r="W26" i="10" s="1"/>
  <c r="R26" i="10"/>
  <c r="O26" i="10"/>
  <c r="L26" i="10"/>
  <c r="D26" i="10"/>
  <c r="D30" i="10" s="1"/>
  <c r="X25" i="10"/>
  <c r="W25" i="10"/>
  <c r="U25" i="10"/>
  <c r="V25" i="10" s="1"/>
  <c r="T25" i="10"/>
  <c r="R25" i="10"/>
  <c r="O25" i="10"/>
  <c r="L25" i="10"/>
  <c r="X24" i="10"/>
  <c r="W24" i="10"/>
  <c r="U24" i="10"/>
  <c r="V24" i="10" s="1"/>
  <c r="T24" i="10"/>
  <c r="R24" i="10"/>
  <c r="O24" i="10"/>
  <c r="L24" i="10"/>
  <c r="T23" i="10"/>
  <c r="X23" i="10" s="1"/>
  <c r="R23" i="10"/>
  <c r="O23" i="10"/>
  <c r="L23" i="10"/>
  <c r="T22" i="10"/>
  <c r="X22" i="10" s="1"/>
  <c r="R22" i="10"/>
  <c r="O22" i="10"/>
  <c r="L22" i="10"/>
  <c r="T21" i="10"/>
  <c r="X21" i="10" s="1"/>
  <c r="R21" i="10"/>
  <c r="O21" i="10"/>
  <c r="L21" i="10"/>
  <c r="W20" i="10"/>
  <c r="U20" i="10"/>
  <c r="V20" i="10" s="1"/>
  <c r="T20" i="10"/>
  <c r="X20" i="10" s="1"/>
  <c r="R20" i="10"/>
  <c r="O20" i="10"/>
  <c r="L20" i="10"/>
  <c r="T19" i="10"/>
  <c r="X19" i="10" s="1"/>
  <c r="R19" i="10"/>
  <c r="O19" i="10"/>
  <c r="L19" i="10"/>
  <c r="X18" i="10"/>
  <c r="T18" i="10"/>
  <c r="W18" i="10" s="1"/>
  <c r="R18" i="10"/>
  <c r="O18" i="10"/>
  <c r="L18" i="10"/>
  <c r="X17" i="10"/>
  <c r="W17" i="10"/>
  <c r="U17" i="10"/>
  <c r="V17" i="10" s="1"/>
  <c r="T17" i="10"/>
  <c r="R17" i="10"/>
  <c r="O17" i="10"/>
  <c r="L17" i="10"/>
  <c r="X16" i="10"/>
  <c r="W16" i="10"/>
  <c r="U16" i="10"/>
  <c r="V16" i="10" s="1"/>
  <c r="T16" i="10"/>
  <c r="R16" i="10"/>
  <c r="O16" i="10"/>
  <c r="L16" i="10"/>
  <c r="T15" i="10"/>
  <c r="X15" i="10" s="1"/>
  <c r="R15" i="10"/>
  <c r="O15" i="10"/>
  <c r="L15" i="10"/>
  <c r="T14" i="10"/>
  <c r="X14" i="10" s="1"/>
  <c r="R14" i="10"/>
  <c r="O14" i="10"/>
  <c r="L14" i="10"/>
  <c r="W13" i="10"/>
  <c r="T13" i="10"/>
  <c r="X13" i="10" s="1"/>
  <c r="R13" i="10"/>
  <c r="O13" i="10"/>
  <c r="L13" i="10"/>
  <c r="X12" i="10"/>
  <c r="T12" i="10"/>
  <c r="W12" i="10" s="1"/>
  <c r="R12" i="10"/>
  <c r="O12" i="10"/>
  <c r="L12" i="10"/>
  <c r="T11" i="10"/>
  <c r="X11" i="10" s="1"/>
  <c r="R11" i="10"/>
  <c r="O11" i="10"/>
  <c r="L11" i="10"/>
  <c r="U10" i="10"/>
  <c r="V10" i="10" s="1"/>
  <c r="T10" i="10"/>
  <c r="X10" i="10" s="1"/>
  <c r="R10" i="10"/>
  <c r="O10" i="10"/>
  <c r="L10" i="10"/>
  <c r="X9" i="10"/>
  <c r="W9" i="10"/>
  <c r="T9" i="10"/>
  <c r="U9" i="10" s="1"/>
  <c r="V9" i="10" s="1"/>
  <c r="R9" i="10"/>
  <c r="O9" i="10"/>
  <c r="L9" i="10"/>
  <c r="X8" i="10"/>
  <c r="W8" i="10"/>
  <c r="T8" i="10"/>
  <c r="U8" i="10" s="1"/>
  <c r="V8" i="10" s="1"/>
  <c r="R8" i="10"/>
  <c r="O8" i="10"/>
  <c r="L8" i="10"/>
  <c r="T7" i="10"/>
  <c r="D18" i="10" s="1"/>
  <c r="R7" i="10"/>
  <c r="O7" i="10"/>
  <c r="L7" i="10"/>
  <c r="D7" i="10"/>
  <c r="D9" i="10" s="1"/>
  <c r="U6" i="10"/>
  <c r="V6" i="10" s="1"/>
  <c r="T6" i="10"/>
  <c r="X6" i="10" s="1"/>
  <c r="R6" i="10"/>
  <c r="O6" i="10"/>
  <c r="L6" i="10"/>
  <c r="W5" i="10"/>
  <c r="T5" i="10"/>
  <c r="X5" i="10" s="1"/>
  <c r="R5" i="10"/>
  <c r="O5" i="10"/>
  <c r="L5" i="10"/>
  <c r="W4" i="10"/>
  <c r="U4" i="10"/>
  <c r="T4" i="10"/>
  <c r="T35" i="10" s="1"/>
  <c r="R4" i="10"/>
  <c r="O4" i="10"/>
  <c r="L4" i="10"/>
  <c r="H4" i="10"/>
  <c r="S35" i="9"/>
  <c r="Q35" i="9"/>
  <c r="P35" i="9"/>
  <c r="N35" i="9"/>
  <c r="M35" i="9"/>
  <c r="K35" i="9"/>
  <c r="J35" i="9"/>
  <c r="X34" i="9"/>
  <c r="W34" i="9"/>
  <c r="T34" i="9"/>
  <c r="U34" i="9" s="1"/>
  <c r="V34" i="9" s="1"/>
  <c r="R34" i="9"/>
  <c r="O34" i="9"/>
  <c r="L34" i="9"/>
  <c r="X33" i="9"/>
  <c r="W33" i="9"/>
  <c r="T33" i="9"/>
  <c r="U33" i="9" s="1"/>
  <c r="V33" i="9" s="1"/>
  <c r="R33" i="9"/>
  <c r="O33" i="9"/>
  <c r="L33" i="9"/>
  <c r="X32" i="9"/>
  <c r="W32" i="9"/>
  <c r="U32" i="9"/>
  <c r="V32" i="9" s="1"/>
  <c r="T32" i="9"/>
  <c r="R32" i="9"/>
  <c r="O32" i="9"/>
  <c r="L32" i="9"/>
  <c r="T31" i="9"/>
  <c r="X31" i="9" s="1"/>
  <c r="R31" i="9"/>
  <c r="O31" i="9"/>
  <c r="L31" i="9"/>
  <c r="T30" i="9"/>
  <c r="X30" i="9" s="1"/>
  <c r="R30" i="9"/>
  <c r="O30" i="9"/>
  <c r="L30" i="9"/>
  <c r="T29" i="9"/>
  <c r="X29" i="9" s="1"/>
  <c r="R29" i="9"/>
  <c r="O29" i="9"/>
  <c r="L29" i="9"/>
  <c r="T28" i="9"/>
  <c r="X28" i="9" s="1"/>
  <c r="R28" i="9"/>
  <c r="O28" i="9"/>
  <c r="L28" i="9"/>
  <c r="D28" i="9"/>
  <c r="T27" i="9"/>
  <c r="X27" i="9" s="1"/>
  <c r="R27" i="9"/>
  <c r="O27" i="9"/>
  <c r="L27" i="9"/>
  <c r="D27" i="9"/>
  <c r="X26" i="9"/>
  <c r="T26" i="9"/>
  <c r="W26" i="9" s="1"/>
  <c r="R26" i="9"/>
  <c r="O26" i="9"/>
  <c r="L26" i="9"/>
  <c r="D26" i="9"/>
  <c r="D30" i="9" s="1"/>
  <c r="X25" i="9"/>
  <c r="W25" i="9"/>
  <c r="T25" i="9"/>
  <c r="U25" i="9" s="1"/>
  <c r="V25" i="9" s="1"/>
  <c r="R25" i="9"/>
  <c r="O25" i="9"/>
  <c r="L25" i="9"/>
  <c r="X24" i="9"/>
  <c r="W24" i="9"/>
  <c r="U24" i="9"/>
  <c r="V24" i="9" s="1"/>
  <c r="T24" i="9"/>
  <c r="R24" i="9"/>
  <c r="O24" i="9"/>
  <c r="L24" i="9"/>
  <c r="T23" i="9"/>
  <c r="X23" i="9" s="1"/>
  <c r="R23" i="9"/>
  <c r="O23" i="9"/>
  <c r="L23" i="9"/>
  <c r="T22" i="9"/>
  <c r="X22" i="9" s="1"/>
  <c r="R22" i="9"/>
  <c r="O22" i="9"/>
  <c r="L22" i="9"/>
  <c r="T21" i="9"/>
  <c r="X21" i="9" s="1"/>
  <c r="R21" i="9"/>
  <c r="O21" i="9"/>
  <c r="L21" i="9"/>
  <c r="T20" i="9"/>
  <c r="X20" i="9" s="1"/>
  <c r="R20" i="9"/>
  <c r="O20" i="9"/>
  <c r="L20" i="9"/>
  <c r="T19" i="9"/>
  <c r="X19" i="9" s="1"/>
  <c r="R19" i="9"/>
  <c r="O19" i="9"/>
  <c r="L19" i="9"/>
  <c r="X18" i="9"/>
  <c r="T18" i="9"/>
  <c r="W18" i="9" s="1"/>
  <c r="R18" i="9"/>
  <c r="O18" i="9"/>
  <c r="L18" i="9"/>
  <c r="X17" i="9"/>
  <c r="W17" i="9"/>
  <c r="T17" i="9"/>
  <c r="U17" i="9" s="1"/>
  <c r="V17" i="9" s="1"/>
  <c r="R17" i="9"/>
  <c r="O17" i="9"/>
  <c r="L17" i="9"/>
  <c r="X16" i="9"/>
  <c r="W16" i="9"/>
  <c r="U16" i="9"/>
  <c r="V16" i="9" s="1"/>
  <c r="T16" i="9"/>
  <c r="R16" i="9"/>
  <c r="O16" i="9"/>
  <c r="L16" i="9"/>
  <c r="T15" i="9"/>
  <c r="X15" i="9" s="1"/>
  <c r="R15" i="9"/>
  <c r="O15" i="9"/>
  <c r="L15" i="9"/>
  <c r="T14" i="9"/>
  <c r="X14" i="9" s="1"/>
  <c r="R14" i="9"/>
  <c r="O14" i="9"/>
  <c r="L14" i="9"/>
  <c r="T13" i="9"/>
  <c r="X13" i="9" s="1"/>
  <c r="R13" i="9"/>
  <c r="O13" i="9"/>
  <c r="L13" i="9"/>
  <c r="X12" i="9"/>
  <c r="T12" i="9"/>
  <c r="W12" i="9" s="1"/>
  <c r="R12" i="9"/>
  <c r="O12" i="9"/>
  <c r="L12" i="9"/>
  <c r="W11" i="9"/>
  <c r="T11" i="9"/>
  <c r="X11" i="9" s="1"/>
  <c r="R11" i="9"/>
  <c r="O11" i="9"/>
  <c r="L11" i="9"/>
  <c r="U10" i="9"/>
  <c r="V10" i="9" s="1"/>
  <c r="T10" i="9"/>
  <c r="X10" i="9" s="1"/>
  <c r="R10" i="9"/>
  <c r="O10" i="9"/>
  <c r="L10" i="9"/>
  <c r="X9" i="9"/>
  <c r="W9" i="9"/>
  <c r="T9" i="9"/>
  <c r="U9" i="9" s="1"/>
  <c r="V9" i="9" s="1"/>
  <c r="R9" i="9"/>
  <c r="O9" i="9"/>
  <c r="L9" i="9"/>
  <c r="X8" i="9"/>
  <c r="W8" i="9"/>
  <c r="T8" i="9"/>
  <c r="U8" i="9" s="1"/>
  <c r="V8" i="9" s="1"/>
  <c r="R8" i="9"/>
  <c r="O8" i="9"/>
  <c r="L8" i="9"/>
  <c r="T7" i="9"/>
  <c r="X7" i="9" s="1"/>
  <c r="R7" i="9"/>
  <c r="O7" i="9"/>
  <c r="L7" i="9"/>
  <c r="D7" i="9"/>
  <c r="D9" i="9" s="1"/>
  <c r="U6" i="9"/>
  <c r="V6" i="9" s="1"/>
  <c r="T6" i="9"/>
  <c r="X6" i="9" s="1"/>
  <c r="R6" i="9"/>
  <c r="O6" i="9"/>
  <c r="L6" i="9"/>
  <c r="W5" i="9"/>
  <c r="T5" i="9"/>
  <c r="X5" i="9" s="1"/>
  <c r="R5" i="9"/>
  <c r="O5" i="9"/>
  <c r="L5" i="9"/>
  <c r="X4" i="9"/>
  <c r="W4" i="9"/>
  <c r="U4" i="9"/>
  <c r="T4" i="9"/>
  <c r="T35" i="9" s="1"/>
  <c r="R4" i="9"/>
  <c r="O4" i="9"/>
  <c r="L4" i="9"/>
  <c r="H4" i="9"/>
  <c r="H5" i="9" s="1"/>
  <c r="S35" i="8"/>
  <c r="Q35" i="8"/>
  <c r="P35" i="8"/>
  <c r="N35" i="8"/>
  <c r="M35" i="8"/>
  <c r="K35" i="8"/>
  <c r="J35" i="8"/>
  <c r="X34" i="8"/>
  <c r="W34" i="8"/>
  <c r="T34" i="8"/>
  <c r="U34" i="8" s="1"/>
  <c r="V34" i="8" s="1"/>
  <c r="R34" i="8"/>
  <c r="O34" i="8"/>
  <c r="L34" i="8"/>
  <c r="X33" i="8"/>
  <c r="W33" i="8"/>
  <c r="T33" i="8"/>
  <c r="U33" i="8" s="1"/>
  <c r="V33" i="8" s="1"/>
  <c r="R33" i="8"/>
  <c r="O33" i="8"/>
  <c r="L33" i="8"/>
  <c r="X32" i="8"/>
  <c r="W32" i="8"/>
  <c r="U32" i="8"/>
  <c r="V32" i="8" s="1"/>
  <c r="T32" i="8"/>
  <c r="R32" i="8"/>
  <c r="O32" i="8"/>
  <c r="L32" i="8"/>
  <c r="T31" i="8"/>
  <c r="X31" i="8" s="1"/>
  <c r="R31" i="8"/>
  <c r="O31" i="8"/>
  <c r="L31" i="8"/>
  <c r="T30" i="8"/>
  <c r="X30" i="8" s="1"/>
  <c r="R30" i="8"/>
  <c r="O30" i="8"/>
  <c r="L30" i="8"/>
  <c r="W29" i="8"/>
  <c r="T29" i="8"/>
  <c r="X29" i="8" s="1"/>
  <c r="R29" i="8"/>
  <c r="O29" i="8"/>
  <c r="L29" i="8"/>
  <c r="U28" i="8"/>
  <c r="V28" i="8" s="1"/>
  <c r="T28" i="8"/>
  <c r="X28" i="8" s="1"/>
  <c r="R28" i="8"/>
  <c r="O28" i="8"/>
  <c r="L28" i="8"/>
  <c r="D28" i="8"/>
  <c r="T27" i="8"/>
  <c r="X27" i="8" s="1"/>
  <c r="R27" i="8"/>
  <c r="O27" i="8"/>
  <c r="L27" i="8"/>
  <c r="D27" i="8"/>
  <c r="X26" i="8"/>
  <c r="T26" i="8"/>
  <c r="W26" i="8" s="1"/>
  <c r="R26" i="8"/>
  <c r="O26" i="8"/>
  <c r="L26" i="8"/>
  <c r="D26" i="8"/>
  <c r="D30" i="8" s="1"/>
  <c r="X25" i="8"/>
  <c r="W25" i="8"/>
  <c r="T25" i="8"/>
  <c r="U25" i="8" s="1"/>
  <c r="V25" i="8" s="1"/>
  <c r="R25" i="8"/>
  <c r="O25" i="8"/>
  <c r="L25" i="8"/>
  <c r="X24" i="8"/>
  <c r="W24" i="8"/>
  <c r="U24" i="8"/>
  <c r="V24" i="8" s="1"/>
  <c r="T24" i="8"/>
  <c r="R24" i="8"/>
  <c r="O24" i="8"/>
  <c r="L24" i="8"/>
  <c r="T23" i="8"/>
  <c r="X23" i="8" s="1"/>
  <c r="R23" i="8"/>
  <c r="O23" i="8"/>
  <c r="L23" i="8"/>
  <c r="U22" i="8"/>
  <c r="V22" i="8" s="1"/>
  <c r="T22" i="8"/>
  <c r="X22" i="8" s="1"/>
  <c r="R22" i="8"/>
  <c r="O22" i="8"/>
  <c r="L22" i="8"/>
  <c r="X21" i="8"/>
  <c r="T21" i="8"/>
  <c r="W21" i="8" s="1"/>
  <c r="R21" i="8"/>
  <c r="O21" i="8"/>
  <c r="L21" i="8"/>
  <c r="T20" i="8"/>
  <c r="X20" i="8" s="1"/>
  <c r="R20" i="8"/>
  <c r="O20" i="8"/>
  <c r="L20" i="8"/>
  <c r="U19" i="8"/>
  <c r="V19" i="8" s="1"/>
  <c r="T19" i="8"/>
  <c r="X19" i="8" s="1"/>
  <c r="R19" i="8"/>
  <c r="O19" i="8"/>
  <c r="L19" i="8"/>
  <c r="X18" i="8"/>
  <c r="T18" i="8"/>
  <c r="W18" i="8" s="1"/>
  <c r="R18" i="8"/>
  <c r="O18" i="8"/>
  <c r="L18" i="8"/>
  <c r="X17" i="8"/>
  <c r="W17" i="8"/>
  <c r="T17" i="8"/>
  <c r="U17" i="8" s="1"/>
  <c r="V17" i="8" s="1"/>
  <c r="R17" i="8"/>
  <c r="O17" i="8"/>
  <c r="L17" i="8"/>
  <c r="X16" i="8"/>
  <c r="W16" i="8"/>
  <c r="U16" i="8"/>
  <c r="V16" i="8" s="1"/>
  <c r="T16" i="8"/>
  <c r="R16" i="8"/>
  <c r="O16" i="8"/>
  <c r="L16" i="8"/>
  <c r="T15" i="8"/>
  <c r="X15" i="8" s="1"/>
  <c r="R15" i="8"/>
  <c r="O15" i="8"/>
  <c r="L15" i="8"/>
  <c r="U14" i="8"/>
  <c r="V14" i="8" s="1"/>
  <c r="T14" i="8"/>
  <c r="X14" i="8" s="1"/>
  <c r="R14" i="8"/>
  <c r="O14" i="8"/>
  <c r="L14" i="8"/>
  <c r="X13" i="8"/>
  <c r="T13" i="8"/>
  <c r="W13" i="8" s="1"/>
  <c r="R13" i="8"/>
  <c r="O13" i="8"/>
  <c r="L13" i="8"/>
  <c r="X12" i="8"/>
  <c r="W12" i="8"/>
  <c r="T12" i="8"/>
  <c r="U12" i="8" s="1"/>
  <c r="V12" i="8" s="1"/>
  <c r="R12" i="8"/>
  <c r="O12" i="8"/>
  <c r="L12" i="8"/>
  <c r="W11" i="8"/>
  <c r="V11" i="8"/>
  <c r="U11" i="8"/>
  <c r="T11" i="8"/>
  <c r="X11" i="8" s="1"/>
  <c r="R11" i="8"/>
  <c r="O11" i="8"/>
  <c r="L11" i="8"/>
  <c r="U10" i="8"/>
  <c r="V10" i="8" s="1"/>
  <c r="T10" i="8"/>
  <c r="X10" i="8" s="1"/>
  <c r="R10" i="8"/>
  <c r="O10" i="8"/>
  <c r="L10" i="8"/>
  <c r="X9" i="8"/>
  <c r="W9" i="8"/>
  <c r="T9" i="8"/>
  <c r="U9" i="8" s="1"/>
  <c r="V9" i="8" s="1"/>
  <c r="R9" i="8"/>
  <c r="O9" i="8"/>
  <c r="L9" i="8"/>
  <c r="X8" i="8"/>
  <c r="W8" i="8"/>
  <c r="V8" i="8"/>
  <c r="U8" i="8"/>
  <c r="T8" i="8"/>
  <c r="R8" i="8"/>
  <c r="O8" i="8"/>
  <c r="L8" i="8"/>
  <c r="T7" i="8"/>
  <c r="X7" i="8" s="1"/>
  <c r="R7" i="8"/>
  <c r="O7" i="8"/>
  <c r="L7" i="8"/>
  <c r="D7" i="8"/>
  <c r="D9" i="8" s="1"/>
  <c r="V6" i="8"/>
  <c r="U6" i="8"/>
  <c r="T6" i="8"/>
  <c r="X6" i="8" s="1"/>
  <c r="R6" i="8"/>
  <c r="O6" i="8"/>
  <c r="L6" i="8"/>
  <c r="T5" i="8"/>
  <c r="X5" i="8" s="1"/>
  <c r="R5" i="8"/>
  <c r="O5" i="8"/>
  <c r="L5" i="8"/>
  <c r="W4" i="8"/>
  <c r="V4" i="8"/>
  <c r="U4" i="8"/>
  <c r="T4" i="8"/>
  <c r="T35" i="8" s="1"/>
  <c r="R4" i="8"/>
  <c r="O4" i="8"/>
  <c r="L4" i="8"/>
  <c r="S35" i="7"/>
  <c r="Q35" i="7"/>
  <c r="P35" i="7"/>
  <c r="N35" i="7"/>
  <c r="M35" i="7"/>
  <c r="K35" i="7"/>
  <c r="J35" i="7"/>
  <c r="X34" i="7"/>
  <c r="W34" i="7"/>
  <c r="T34" i="7"/>
  <c r="U34" i="7" s="1"/>
  <c r="V34" i="7" s="1"/>
  <c r="R34" i="7"/>
  <c r="O34" i="7"/>
  <c r="L34" i="7"/>
  <c r="X33" i="7"/>
  <c r="W33" i="7"/>
  <c r="T33" i="7"/>
  <c r="U33" i="7" s="1"/>
  <c r="V33" i="7" s="1"/>
  <c r="R33" i="7"/>
  <c r="O33" i="7"/>
  <c r="L33" i="7"/>
  <c r="X32" i="7"/>
  <c r="W32" i="7"/>
  <c r="U32" i="7"/>
  <c r="V32" i="7" s="1"/>
  <c r="T32" i="7"/>
  <c r="R32" i="7"/>
  <c r="O32" i="7"/>
  <c r="L32" i="7"/>
  <c r="T31" i="7"/>
  <c r="X31" i="7" s="1"/>
  <c r="R31" i="7"/>
  <c r="O31" i="7"/>
  <c r="L31" i="7"/>
  <c r="U30" i="7"/>
  <c r="V30" i="7" s="1"/>
  <c r="T30" i="7"/>
  <c r="X30" i="7" s="1"/>
  <c r="R30" i="7"/>
  <c r="O30" i="7"/>
  <c r="L30" i="7"/>
  <c r="T29" i="7"/>
  <c r="X29" i="7" s="1"/>
  <c r="R29" i="7"/>
  <c r="O29" i="7"/>
  <c r="L29" i="7"/>
  <c r="T28" i="7"/>
  <c r="X28" i="7" s="1"/>
  <c r="R28" i="7"/>
  <c r="O28" i="7"/>
  <c r="L28" i="7"/>
  <c r="D28" i="7"/>
  <c r="T27" i="7"/>
  <c r="X27" i="7" s="1"/>
  <c r="R27" i="7"/>
  <c r="O27" i="7"/>
  <c r="L27" i="7"/>
  <c r="D27" i="7"/>
  <c r="X26" i="7"/>
  <c r="T26" i="7"/>
  <c r="W26" i="7" s="1"/>
  <c r="R26" i="7"/>
  <c r="O26" i="7"/>
  <c r="L26" i="7"/>
  <c r="D26" i="7"/>
  <c r="D30" i="7" s="1"/>
  <c r="X25" i="7"/>
  <c r="W25" i="7"/>
  <c r="T25" i="7"/>
  <c r="U25" i="7" s="1"/>
  <c r="V25" i="7" s="1"/>
  <c r="R25" i="7"/>
  <c r="O25" i="7"/>
  <c r="L25" i="7"/>
  <c r="X24" i="7"/>
  <c r="W24" i="7"/>
  <c r="U24" i="7"/>
  <c r="V24" i="7" s="1"/>
  <c r="T24" i="7"/>
  <c r="R24" i="7"/>
  <c r="O24" i="7"/>
  <c r="L24" i="7"/>
  <c r="T23" i="7"/>
  <c r="X23" i="7" s="1"/>
  <c r="R23" i="7"/>
  <c r="O23" i="7"/>
  <c r="L23" i="7"/>
  <c r="V22" i="7"/>
  <c r="U22" i="7"/>
  <c r="T22" i="7"/>
  <c r="X22" i="7" s="1"/>
  <c r="R22" i="7"/>
  <c r="O22" i="7"/>
  <c r="L22" i="7"/>
  <c r="U21" i="7"/>
  <c r="V21" i="7" s="1"/>
  <c r="T21" i="7"/>
  <c r="X21" i="7" s="1"/>
  <c r="R21" i="7"/>
  <c r="O21" i="7"/>
  <c r="L21" i="7"/>
  <c r="T20" i="7"/>
  <c r="X20" i="7" s="1"/>
  <c r="R20" i="7"/>
  <c r="O20" i="7"/>
  <c r="L20" i="7"/>
  <c r="T19" i="7"/>
  <c r="X19" i="7" s="1"/>
  <c r="R19" i="7"/>
  <c r="O19" i="7"/>
  <c r="L19" i="7"/>
  <c r="X18" i="7"/>
  <c r="T18" i="7"/>
  <c r="W18" i="7" s="1"/>
  <c r="R18" i="7"/>
  <c r="O18" i="7"/>
  <c r="L18" i="7"/>
  <c r="X17" i="7"/>
  <c r="W17" i="7"/>
  <c r="T17" i="7"/>
  <c r="U17" i="7" s="1"/>
  <c r="V17" i="7" s="1"/>
  <c r="R17" i="7"/>
  <c r="O17" i="7"/>
  <c r="L17" i="7"/>
  <c r="X16" i="7"/>
  <c r="W16" i="7"/>
  <c r="U16" i="7"/>
  <c r="V16" i="7" s="1"/>
  <c r="T16" i="7"/>
  <c r="R16" i="7"/>
  <c r="O16" i="7"/>
  <c r="L16" i="7"/>
  <c r="T15" i="7"/>
  <c r="X15" i="7" s="1"/>
  <c r="R15" i="7"/>
  <c r="O15" i="7"/>
  <c r="L15" i="7"/>
  <c r="V14" i="7"/>
  <c r="U14" i="7"/>
  <c r="T14" i="7"/>
  <c r="X14" i="7" s="1"/>
  <c r="R14" i="7"/>
  <c r="O14" i="7"/>
  <c r="L14" i="7"/>
  <c r="U13" i="7"/>
  <c r="V13" i="7" s="1"/>
  <c r="T13" i="7"/>
  <c r="X13" i="7" s="1"/>
  <c r="R13" i="7"/>
  <c r="O13" i="7"/>
  <c r="L13" i="7"/>
  <c r="T12" i="7"/>
  <c r="X12" i="7" s="1"/>
  <c r="R12" i="7"/>
  <c r="O12" i="7"/>
  <c r="L12" i="7"/>
  <c r="W11" i="7"/>
  <c r="T11" i="7"/>
  <c r="X11" i="7" s="1"/>
  <c r="R11" i="7"/>
  <c r="O11" i="7"/>
  <c r="L11" i="7"/>
  <c r="U10" i="7"/>
  <c r="V10" i="7" s="1"/>
  <c r="T10" i="7"/>
  <c r="X10" i="7" s="1"/>
  <c r="R10" i="7"/>
  <c r="O10" i="7"/>
  <c r="L10" i="7"/>
  <c r="X9" i="7"/>
  <c r="W9" i="7"/>
  <c r="T9" i="7"/>
  <c r="U9" i="7" s="1"/>
  <c r="V9" i="7" s="1"/>
  <c r="R9" i="7"/>
  <c r="O9" i="7"/>
  <c r="L9" i="7"/>
  <c r="X8" i="7"/>
  <c r="W8" i="7"/>
  <c r="T8" i="7"/>
  <c r="U8" i="7" s="1"/>
  <c r="V8" i="7" s="1"/>
  <c r="R8" i="7"/>
  <c r="O8" i="7"/>
  <c r="L8" i="7"/>
  <c r="T7" i="7"/>
  <c r="X7" i="7" s="1"/>
  <c r="R7" i="7"/>
  <c r="O7" i="7"/>
  <c r="L7" i="7"/>
  <c r="D7" i="7"/>
  <c r="H4" i="7" s="1"/>
  <c r="W6" i="7"/>
  <c r="T6" i="7"/>
  <c r="X6" i="7" s="1"/>
  <c r="R6" i="7"/>
  <c r="O6" i="7"/>
  <c r="L6" i="7"/>
  <c r="T5" i="7"/>
  <c r="X5" i="7" s="1"/>
  <c r="R5" i="7"/>
  <c r="O5" i="7"/>
  <c r="L5" i="7"/>
  <c r="W4" i="7"/>
  <c r="U4" i="7"/>
  <c r="T4" i="7"/>
  <c r="T35" i="7" s="1"/>
  <c r="R4" i="7"/>
  <c r="O4" i="7"/>
  <c r="L4" i="7"/>
  <c r="S35" i="6"/>
  <c r="Q35" i="6"/>
  <c r="P35" i="6"/>
  <c r="N35" i="6"/>
  <c r="M35" i="6"/>
  <c r="K35" i="6"/>
  <c r="J35" i="6"/>
  <c r="X34" i="6"/>
  <c r="W34" i="6"/>
  <c r="T34" i="6"/>
  <c r="U34" i="6" s="1"/>
  <c r="V34" i="6" s="1"/>
  <c r="R34" i="6"/>
  <c r="O34" i="6"/>
  <c r="L34" i="6"/>
  <c r="X33" i="6"/>
  <c r="W33" i="6"/>
  <c r="T33" i="6"/>
  <c r="U33" i="6" s="1"/>
  <c r="V33" i="6" s="1"/>
  <c r="R33" i="6"/>
  <c r="O33" i="6"/>
  <c r="L33" i="6"/>
  <c r="X32" i="6"/>
  <c r="W32" i="6"/>
  <c r="U32" i="6"/>
  <c r="V32" i="6" s="1"/>
  <c r="T32" i="6"/>
  <c r="R32" i="6"/>
  <c r="O32" i="6"/>
  <c r="L32" i="6"/>
  <c r="T31" i="6"/>
  <c r="X31" i="6" s="1"/>
  <c r="R31" i="6"/>
  <c r="O31" i="6"/>
  <c r="L31" i="6"/>
  <c r="T30" i="6"/>
  <c r="X30" i="6" s="1"/>
  <c r="R30" i="6"/>
  <c r="O30" i="6"/>
  <c r="L30" i="6"/>
  <c r="T29" i="6"/>
  <c r="X29" i="6" s="1"/>
  <c r="R29" i="6"/>
  <c r="O29" i="6"/>
  <c r="L29" i="6"/>
  <c r="T28" i="6"/>
  <c r="X28" i="6" s="1"/>
  <c r="R28" i="6"/>
  <c r="O28" i="6"/>
  <c r="L28" i="6"/>
  <c r="D28" i="6"/>
  <c r="U27" i="6"/>
  <c r="V27" i="6" s="1"/>
  <c r="T27" i="6"/>
  <c r="X27" i="6" s="1"/>
  <c r="R27" i="6"/>
  <c r="O27" i="6"/>
  <c r="L27" i="6"/>
  <c r="D27" i="6"/>
  <c r="X26" i="6"/>
  <c r="T26" i="6"/>
  <c r="W26" i="6" s="1"/>
  <c r="R26" i="6"/>
  <c r="O26" i="6"/>
  <c r="L26" i="6"/>
  <c r="D26" i="6"/>
  <c r="D30" i="6" s="1"/>
  <c r="X25" i="6"/>
  <c r="W25" i="6"/>
  <c r="T25" i="6"/>
  <c r="U25" i="6" s="1"/>
  <c r="V25" i="6" s="1"/>
  <c r="R25" i="6"/>
  <c r="O25" i="6"/>
  <c r="L25" i="6"/>
  <c r="X24" i="6"/>
  <c r="W24" i="6"/>
  <c r="U24" i="6"/>
  <c r="V24" i="6" s="1"/>
  <c r="T24" i="6"/>
  <c r="R24" i="6"/>
  <c r="O24" i="6"/>
  <c r="L24" i="6"/>
  <c r="T23" i="6"/>
  <c r="X23" i="6" s="1"/>
  <c r="R23" i="6"/>
  <c r="O23" i="6"/>
  <c r="L23" i="6"/>
  <c r="T22" i="6"/>
  <c r="X22" i="6" s="1"/>
  <c r="R22" i="6"/>
  <c r="O22" i="6"/>
  <c r="L22" i="6"/>
  <c r="U21" i="6"/>
  <c r="V21" i="6" s="1"/>
  <c r="T21" i="6"/>
  <c r="X21" i="6" s="1"/>
  <c r="R21" i="6"/>
  <c r="O21" i="6"/>
  <c r="L21" i="6"/>
  <c r="T20" i="6"/>
  <c r="X20" i="6" s="1"/>
  <c r="R20" i="6"/>
  <c r="O20" i="6"/>
  <c r="L20" i="6"/>
  <c r="T19" i="6"/>
  <c r="X19" i="6" s="1"/>
  <c r="R19" i="6"/>
  <c r="O19" i="6"/>
  <c r="L19" i="6"/>
  <c r="X18" i="6"/>
  <c r="T18" i="6"/>
  <c r="W18" i="6" s="1"/>
  <c r="R18" i="6"/>
  <c r="O18" i="6"/>
  <c r="L18" i="6"/>
  <c r="X17" i="6"/>
  <c r="W17" i="6"/>
  <c r="T17" i="6"/>
  <c r="U17" i="6" s="1"/>
  <c r="V17" i="6" s="1"/>
  <c r="R17" i="6"/>
  <c r="O17" i="6"/>
  <c r="L17" i="6"/>
  <c r="X16" i="6"/>
  <c r="W16" i="6"/>
  <c r="U16" i="6"/>
  <c r="V16" i="6" s="1"/>
  <c r="T16" i="6"/>
  <c r="R16" i="6"/>
  <c r="O16" i="6"/>
  <c r="L16" i="6"/>
  <c r="T15" i="6"/>
  <c r="X15" i="6" s="1"/>
  <c r="R15" i="6"/>
  <c r="O15" i="6"/>
  <c r="L15" i="6"/>
  <c r="T14" i="6"/>
  <c r="X14" i="6" s="1"/>
  <c r="R14" i="6"/>
  <c r="O14" i="6"/>
  <c r="L14" i="6"/>
  <c r="U13" i="6"/>
  <c r="V13" i="6" s="1"/>
  <c r="T13" i="6"/>
  <c r="X13" i="6" s="1"/>
  <c r="R13" i="6"/>
  <c r="O13" i="6"/>
  <c r="L13" i="6"/>
  <c r="T12" i="6"/>
  <c r="X12" i="6" s="1"/>
  <c r="R12" i="6"/>
  <c r="O12" i="6"/>
  <c r="L12" i="6"/>
  <c r="W11" i="6"/>
  <c r="T11" i="6"/>
  <c r="X11" i="6" s="1"/>
  <c r="R11" i="6"/>
  <c r="O11" i="6"/>
  <c r="L11" i="6"/>
  <c r="U10" i="6"/>
  <c r="V10" i="6" s="1"/>
  <c r="T10" i="6"/>
  <c r="X10" i="6" s="1"/>
  <c r="R10" i="6"/>
  <c r="O10" i="6"/>
  <c r="L10" i="6"/>
  <c r="X9" i="6"/>
  <c r="W9" i="6"/>
  <c r="T9" i="6"/>
  <c r="U9" i="6" s="1"/>
  <c r="V9" i="6" s="1"/>
  <c r="R9" i="6"/>
  <c r="O9" i="6"/>
  <c r="L9" i="6"/>
  <c r="X8" i="6"/>
  <c r="W8" i="6"/>
  <c r="T8" i="6"/>
  <c r="U8" i="6" s="1"/>
  <c r="V8" i="6" s="1"/>
  <c r="R8" i="6"/>
  <c r="O8" i="6"/>
  <c r="L8" i="6"/>
  <c r="T7" i="6"/>
  <c r="X7" i="6" s="1"/>
  <c r="R7" i="6"/>
  <c r="O7" i="6"/>
  <c r="L7" i="6"/>
  <c r="D7" i="6"/>
  <c r="D9" i="6" s="1"/>
  <c r="T6" i="6"/>
  <c r="X6" i="6" s="1"/>
  <c r="R6" i="6"/>
  <c r="O6" i="6"/>
  <c r="L6" i="6"/>
  <c r="T5" i="6"/>
  <c r="X5" i="6" s="1"/>
  <c r="R5" i="6"/>
  <c r="O5" i="6"/>
  <c r="L5" i="6"/>
  <c r="W4" i="6"/>
  <c r="T4" i="6"/>
  <c r="T35" i="6" s="1"/>
  <c r="R4" i="6"/>
  <c r="O4" i="6"/>
  <c r="L4" i="6"/>
  <c r="S35" i="5"/>
  <c r="Q35" i="5"/>
  <c r="P35" i="5"/>
  <c r="N35" i="5"/>
  <c r="M35" i="5"/>
  <c r="K35" i="5"/>
  <c r="J35" i="5"/>
  <c r="X34" i="5"/>
  <c r="W34" i="5"/>
  <c r="T34" i="5"/>
  <c r="U34" i="5" s="1"/>
  <c r="V34" i="5" s="1"/>
  <c r="R34" i="5"/>
  <c r="O34" i="5"/>
  <c r="L34" i="5"/>
  <c r="X33" i="5"/>
  <c r="W33" i="5"/>
  <c r="T33" i="5"/>
  <c r="U33" i="5" s="1"/>
  <c r="V33" i="5" s="1"/>
  <c r="R33" i="5"/>
  <c r="O33" i="5"/>
  <c r="L33" i="5"/>
  <c r="X32" i="5"/>
  <c r="W32" i="5"/>
  <c r="U32" i="5"/>
  <c r="V32" i="5" s="1"/>
  <c r="T32" i="5"/>
  <c r="R32" i="5"/>
  <c r="O32" i="5"/>
  <c r="L32" i="5"/>
  <c r="U31" i="5"/>
  <c r="V31" i="5" s="1"/>
  <c r="T31" i="5"/>
  <c r="X31" i="5" s="1"/>
  <c r="R31" i="5"/>
  <c r="O31" i="5"/>
  <c r="L31" i="5"/>
  <c r="W30" i="5"/>
  <c r="T30" i="5"/>
  <c r="X30" i="5" s="1"/>
  <c r="R30" i="5"/>
  <c r="O30" i="5"/>
  <c r="L30" i="5"/>
  <c r="T29" i="5"/>
  <c r="X29" i="5" s="1"/>
  <c r="R29" i="5"/>
  <c r="O29" i="5"/>
  <c r="L29" i="5"/>
  <c r="T28" i="5"/>
  <c r="X28" i="5" s="1"/>
  <c r="R28" i="5"/>
  <c r="O28" i="5"/>
  <c r="L28" i="5"/>
  <c r="D28" i="5"/>
  <c r="T27" i="5"/>
  <c r="X27" i="5" s="1"/>
  <c r="R27" i="5"/>
  <c r="O27" i="5"/>
  <c r="L27" i="5"/>
  <c r="D27" i="5"/>
  <c r="X26" i="5"/>
  <c r="T26" i="5"/>
  <c r="W26" i="5" s="1"/>
  <c r="R26" i="5"/>
  <c r="O26" i="5"/>
  <c r="L26" i="5"/>
  <c r="D26" i="5"/>
  <c r="D30" i="5" s="1"/>
  <c r="X25" i="5"/>
  <c r="W25" i="5"/>
  <c r="T25" i="5"/>
  <c r="U25" i="5" s="1"/>
  <c r="V25" i="5" s="1"/>
  <c r="R25" i="5"/>
  <c r="O25" i="5"/>
  <c r="L25" i="5"/>
  <c r="X24" i="5"/>
  <c r="W24" i="5"/>
  <c r="U24" i="5"/>
  <c r="V24" i="5" s="1"/>
  <c r="T24" i="5"/>
  <c r="R24" i="5"/>
  <c r="O24" i="5"/>
  <c r="L24" i="5"/>
  <c r="T23" i="5"/>
  <c r="X23" i="5" s="1"/>
  <c r="R23" i="5"/>
  <c r="O23" i="5"/>
  <c r="L23" i="5"/>
  <c r="T22" i="5"/>
  <c r="X22" i="5" s="1"/>
  <c r="R22" i="5"/>
  <c r="O22" i="5"/>
  <c r="L22" i="5"/>
  <c r="W21" i="5"/>
  <c r="U21" i="5"/>
  <c r="V21" i="5" s="1"/>
  <c r="T21" i="5"/>
  <c r="X21" i="5" s="1"/>
  <c r="R21" i="5"/>
  <c r="O21" i="5"/>
  <c r="L21" i="5"/>
  <c r="U20" i="5"/>
  <c r="V20" i="5" s="1"/>
  <c r="T20" i="5"/>
  <c r="X20" i="5" s="1"/>
  <c r="R20" i="5"/>
  <c r="O20" i="5"/>
  <c r="L20" i="5"/>
  <c r="T19" i="5"/>
  <c r="X19" i="5" s="1"/>
  <c r="R19" i="5"/>
  <c r="O19" i="5"/>
  <c r="L19" i="5"/>
  <c r="X18" i="5"/>
  <c r="T18" i="5"/>
  <c r="W18" i="5" s="1"/>
  <c r="R18" i="5"/>
  <c r="O18" i="5"/>
  <c r="L18" i="5"/>
  <c r="X17" i="5"/>
  <c r="W17" i="5"/>
  <c r="T17" i="5"/>
  <c r="U17" i="5" s="1"/>
  <c r="V17" i="5" s="1"/>
  <c r="R17" i="5"/>
  <c r="O17" i="5"/>
  <c r="L17" i="5"/>
  <c r="X16" i="5"/>
  <c r="W16" i="5"/>
  <c r="U16" i="5"/>
  <c r="V16" i="5" s="1"/>
  <c r="T16" i="5"/>
  <c r="R16" i="5"/>
  <c r="O16" i="5"/>
  <c r="L16" i="5"/>
  <c r="T15" i="5"/>
  <c r="X15" i="5" s="1"/>
  <c r="R15" i="5"/>
  <c r="O15" i="5"/>
  <c r="L15" i="5"/>
  <c r="T14" i="5"/>
  <c r="X14" i="5" s="1"/>
  <c r="R14" i="5"/>
  <c r="O14" i="5"/>
  <c r="L14" i="5"/>
  <c r="W13" i="5"/>
  <c r="U13" i="5"/>
  <c r="V13" i="5" s="1"/>
  <c r="T13" i="5"/>
  <c r="X13" i="5" s="1"/>
  <c r="R13" i="5"/>
  <c r="O13" i="5"/>
  <c r="L13" i="5"/>
  <c r="T12" i="5"/>
  <c r="X12" i="5" s="1"/>
  <c r="R12" i="5"/>
  <c r="O12" i="5"/>
  <c r="L12" i="5"/>
  <c r="T11" i="5"/>
  <c r="X11" i="5" s="1"/>
  <c r="R11" i="5"/>
  <c r="O11" i="5"/>
  <c r="L11" i="5"/>
  <c r="U10" i="5"/>
  <c r="V10" i="5" s="1"/>
  <c r="T10" i="5"/>
  <c r="X10" i="5" s="1"/>
  <c r="R10" i="5"/>
  <c r="O10" i="5"/>
  <c r="L10" i="5"/>
  <c r="X9" i="5"/>
  <c r="W9" i="5"/>
  <c r="T9" i="5"/>
  <c r="U9" i="5" s="1"/>
  <c r="V9" i="5" s="1"/>
  <c r="R9" i="5"/>
  <c r="O9" i="5"/>
  <c r="L9" i="5"/>
  <c r="X8" i="5"/>
  <c r="W8" i="5"/>
  <c r="T8" i="5"/>
  <c r="U8" i="5" s="1"/>
  <c r="V8" i="5" s="1"/>
  <c r="R8" i="5"/>
  <c r="O8" i="5"/>
  <c r="L8" i="5"/>
  <c r="T7" i="5"/>
  <c r="X7" i="5" s="1"/>
  <c r="R7" i="5"/>
  <c r="O7" i="5"/>
  <c r="L7" i="5"/>
  <c r="D7" i="5"/>
  <c r="D9" i="5" s="1"/>
  <c r="U6" i="5"/>
  <c r="V6" i="5" s="1"/>
  <c r="T6" i="5"/>
  <c r="X6" i="5" s="1"/>
  <c r="R6" i="5"/>
  <c r="O6" i="5"/>
  <c r="L6" i="5"/>
  <c r="W5" i="5"/>
  <c r="U5" i="5"/>
  <c r="V5" i="5" s="1"/>
  <c r="T5" i="5"/>
  <c r="X5" i="5" s="1"/>
  <c r="R5" i="5"/>
  <c r="O5" i="5"/>
  <c r="L5" i="5"/>
  <c r="U4" i="5"/>
  <c r="T4" i="5"/>
  <c r="T35" i="5" s="1"/>
  <c r="R4" i="5"/>
  <c r="O4" i="5"/>
  <c r="L4" i="5"/>
  <c r="S35" i="4"/>
  <c r="Q35" i="4"/>
  <c r="P35" i="4"/>
  <c r="N35" i="4"/>
  <c r="M35" i="4"/>
  <c r="K35" i="4"/>
  <c r="J35" i="4"/>
  <c r="X34" i="4"/>
  <c r="W34" i="4"/>
  <c r="T34" i="4"/>
  <c r="U34" i="4" s="1"/>
  <c r="V34" i="4" s="1"/>
  <c r="R34" i="4"/>
  <c r="O34" i="4"/>
  <c r="L34" i="4"/>
  <c r="X33" i="4"/>
  <c r="W33" i="4"/>
  <c r="T33" i="4"/>
  <c r="U33" i="4" s="1"/>
  <c r="V33" i="4" s="1"/>
  <c r="R33" i="4"/>
  <c r="O33" i="4"/>
  <c r="L33" i="4"/>
  <c r="X32" i="4"/>
  <c r="W32" i="4"/>
  <c r="U32" i="4"/>
  <c r="V32" i="4" s="1"/>
  <c r="T32" i="4"/>
  <c r="R32" i="4"/>
  <c r="O32" i="4"/>
  <c r="L32" i="4"/>
  <c r="T31" i="4"/>
  <c r="X31" i="4" s="1"/>
  <c r="R31" i="4"/>
  <c r="O31" i="4"/>
  <c r="L31" i="4"/>
  <c r="T30" i="4"/>
  <c r="X30" i="4" s="1"/>
  <c r="R30" i="4"/>
  <c r="O30" i="4"/>
  <c r="L30" i="4"/>
  <c r="W29" i="4"/>
  <c r="U29" i="4"/>
  <c r="V29" i="4" s="1"/>
  <c r="T29" i="4"/>
  <c r="X29" i="4" s="1"/>
  <c r="R29" i="4"/>
  <c r="O29" i="4"/>
  <c r="L29" i="4"/>
  <c r="X28" i="4"/>
  <c r="U28" i="4"/>
  <c r="V28" i="4" s="1"/>
  <c r="T28" i="4"/>
  <c r="W28" i="4" s="1"/>
  <c r="R28" i="4"/>
  <c r="O28" i="4"/>
  <c r="L28" i="4"/>
  <c r="D28" i="4"/>
  <c r="T27" i="4"/>
  <c r="X27" i="4" s="1"/>
  <c r="R27" i="4"/>
  <c r="O27" i="4"/>
  <c r="L27" i="4"/>
  <c r="D27" i="4"/>
  <c r="X26" i="4"/>
  <c r="T26" i="4"/>
  <c r="W26" i="4" s="1"/>
  <c r="R26" i="4"/>
  <c r="O26" i="4"/>
  <c r="L26" i="4"/>
  <c r="D26" i="4"/>
  <c r="D30" i="4" s="1"/>
  <c r="X25" i="4"/>
  <c r="W25" i="4"/>
  <c r="U25" i="4"/>
  <c r="V25" i="4" s="1"/>
  <c r="T25" i="4"/>
  <c r="R25" i="4"/>
  <c r="O25" i="4"/>
  <c r="L25" i="4"/>
  <c r="X24" i="4"/>
  <c r="W24" i="4"/>
  <c r="U24" i="4"/>
  <c r="V24" i="4" s="1"/>
  <c r="T24" i="4"/>
  <c r="R24" i="4"/>
  <c r="O24" i="4"/>
  <c r="L24" i="4"/>
  <c r="T23" i="4"/>
  <c r="X23" i="4" s="1"/>
  <c r="R23" i="4"/>
  <c r="O23" i="4"/>
  <c r="L23" i="4"/>
  <c r="W22" i="4"/>
  <c r="U22" i="4"/>
  <c r="V22" i="4" s="1"/>
  <c r="T22" i="4"/>
  <c r="X22" i="4" s="1"/>
  <c r="R22" i="4"/>
  <c r="O22" i="4"/>
  <c r="L22" i="4"/>
  <c r="T21" i="4"/>
  <c r="X21" i="4" s="1"/>
  <c r="R21" i="4"/>
  <c r="O21" i="4"/>
  <c r="L21" i="4"/>
  <c r="T20" i="4"/>
  <c r="X20" i="4" s="1"/>
  <c r="R20" i="4"/>
  <c r="O20" i="4"/>
  <c r="L20" i="4"/>
  <c r="X19" i="4"/>
  <c r="U19" i="4"/>
  <c r="V19" i="4" s="1"/>
  <c r="T19" i="4"/>
  <c r="W19" i="4" s="1"/>
  <c r="R19" i="4"/>
  <c r="O19" i="4"/>
  <c r="L19" i="4"/>
  <c r="X18" i="4"/>
  <c r="T18" i="4"/>
  <c r="W18" i="4" s="1"/>
  <c r="R18" i="4"/>
  <c r="O18" i="4"/>
  <c r="L18" i="4"/>
  <c r="X17" i="4"/>
  <c r="W17" i="4"/>
  <c r="U17" i="4"/>
  <c r="V17" i="4" s="1"/>
  <c r="T17" i="4"/>
  <c r="R17" i="4"/>
  <c r="O17" i="4"/>
  <c r="L17" i="4"/>
  <c r="X16" i="4"/>
  <c r="W16" i="4"/>
  <c r="U16" i="4"/>
  <c r="V16" i="4" s="1"/>
  <c r="T16" i="4"/>
  <c r="R16" i="4"/>
  <c r="O16" i="4"/>
  <c r="L16" i="4"/>
  <c r="T15" i="4"/>
  <c r="X15" i="4" s="1"/>
  <c r="R15" i="4"/>
  <c r="O15" i="4"/>
  <c r="L15" i="4"/>
  <c r="W14" i="4"/>
  <c r="U14" i="4"/>
  <c r="V14" i="4" s="1"/>
  <c r="T14" i="4"/>
  <c r="X14" i="4" s="1"/>
  <c r="R14" i="4"/>
  <c r="O14" i="4"/>
  <c r="L14" i="4"/>
  <c r="T13" i="4"/>
  <c r="X13" i="4" s="1"/>
  <c r="R13" i="4"/>
  <c r="O13" i="4"/>
  <c r="L13" i="4"/>
  <c r="X12" i="4"/>
  <c r="W12" i="4"/>
  <c r="U12" i="4"/>
  <c r="V12" i="4" s="1"/>
  <c r="T12" i="4"/>
  <c r="R12" i="4"/>
  <c r="O12" i="4"/>
  <c r="L12" i="4"/>
  <c r="X11" i="4"/>
  <c r="W11" i="4"/>
  <c r="V11" i="4"/>
  <c r="U11" i="4"/>
  <c r="T11" i="4"/>
  <c r="R11" i="4"/>
  <c r="O11" i="4"/>
  <c r="L11" i="4"/>
  <c r="U10" i="4"/>
  <c r="V10" i="4" s="1"/>
  <c r="T10" i="4"/>
  <c r="X10" i="4" s="1"/>
  <c r="R10" i="4"/>
  <c r="O10" i="4"/>
  <c r="L10" i="4"/>
  <c r="W9" i="4"/>
  <c r="T9" i="4"/>
  <c r="U9" i="4" s="1"/>
  <c r="V9" i="4" s="1"/>
  <c r="R9" i="4"/>
  <c r="O9" i="4"/>
  <c r="L9" i="4"/>
  <c r="X8" i="4"/>
  <c r="W8" i="4"/>
  <c r="T8" i="4"/>
  <c r="U8" i="4" s="1"/>
  <c r="V8" i="4" s="1"/>
  <c r="R8" i="4"/>
  <c r="O8" i="4"/>
  <c r="L8" i="4"/>
  <c r="T7" i="4"/>
  <c r="X7" i="4" s="1"/>
  <c r="R7" i="4"/>
  <c r="O7" i="4"/>
  <c r="L7" i="4"/>
  <c r="D7" i="4"/>
  <c r="D9" i="4" s="1"/>
  <c r="X6" i="4"/>
  <c r="T6" i="4"/>
  <c r="W6" i="4" s="1"/>
  <c r="R6" i="4"/>
  <c r="O6" i="4"/>
  <c r="L6" i="4"/>
  <c r="W5" i="4"/>
  <c r="T5" i="4"/>
  <c r="X5" i="4" s="1"/>
  <c r="R5" i="4"/>
  <c r="O5" i="4"/>
  <c r="L5" i="4"/>
  <c r="X4" i="4"/>
  <c r="W4" i="4"/>
  <c r="U4" i="4"/>
  <c r="T4" i="4"/>
  <c r="T35" i="4" s="1"/>
  <c r="R4" i="4"/>
  <c r="O4" i="4"/>
  <c r="L4" i="4"/>
  <c r="H4" i="4"/>
  <c r="S35" i="3"/>
  <c r="Q35" i="3"/>
  <c r="P35" i="3"/>
  <c r="N35" i="3"/>
  <c r="M35" i="3"/>
  <c r="K35" i="3"/>
  <c r="J35" i="3"/>
  <c r="D26" i="3" s="1"/>
  <c r="D30" i="3" s="1"/>
  <c r="X34" i="3"/>
  <c r="W34" i="3"/>
  <c r="V34" i="3"/>
  <c r="U34" i="3"/>
  <c r="T34" i="3"/>
  <c r="R34" i="3"/>
  <c r="O34" i="3"/>
  <c r="L34" i="3"/>
  <c r="X33" i="3"/>
  <c r="W33" i="3"/>
  <c r="U33" i="3"/>
  <c r="V33" i="3" s="1"/>
  <c r="T33" i="3"/>
  <c r="R33" i="3"/>
  <c r="O33" i="3"/>
  <c r="L33" i="3"/>
  <c r="X32" i="3"/>
  <c r="W32" i="3"/>
  <c r="T32" i="3"/>
  <c r="U32" i="3" s="1"/>
  <c r="V32" i="3" s="1"/>
  <c r="R32" i="3"/>
  <c r="O32" i="3"/>
  <c r="L32" i="3"/>
  <c r="T31" i="3"/>
  <c r="W31" i="3" s="1"/>
  <c r="R31" i="3"/>
  <c r="O31" i="3"/>
  <c r="L31" i="3"/>
  <c r="T30" i="3"/>
  <c r="U30" i="3" s="1"/>
  <c r="V30" i="3" s="1"/>
  <c r="R30" i="3"/>
  <c r="O30" i="3"/>
  <c r="L30" i="3"/>
  <c r="T29" i="3"/>
  <c r="U29" i="3" s="1"/>
  <c r="V29" i="3" s="1"/>
  <c r="R29" i="3"/>
  <c r="O29" i="3"/>
  <c r="L29" i="3"/>
  <c r="T28" i="3"/>
  <c r="X28" i="3" s="1"/>
  <c r="R28" i="3"/>
  <c r="O28" i="3"/>
  <c r="L28" i="3"/>
  <c r="D28" i="3"/>
  <c r="X27" i="3"/>
  <c r="W27" i="3"/>
  <c r="V27" i="3"/>
  <c r="U27" i="3"/>
  <c r="T27" i="3"/>
  <c r="R27" i="3"/>
  <c r="O27" i="3"/>
  <c r="L27" i="3"/>
  <c r="D27" i="3"/>
  <c r="X26" i="3"/>
  <c r="W26" i="3"/>
  <c r="V26" i="3"/>
  <c r="U26" i="3"/>
  <c r="T26" i="3"/>
  <c r="R26" i="3"/>
  <c r="O26" i="3"/>
  <c r="L26" i="3"/>
  <c r="X25" i="3"/>
  <c r="W25" i="3"/>
  <c r="V25" i="3"/>
  <c r="U25" i="3"/>
  <c r="T25" i="3"/>
  <c r="R25" i="3"/>
  <c r="O25" i="3"/>
  <c r="L25" i="3"/>
  <c r="X24" i="3"/>
  <c r="W24" i="3"/>
  <c r="T24" i="3"/>
  <c r="U24" i="3" s="1"/>
  <c r="V24" i="3" s="1"/>
  <c r="R24" i="3"/>
  <c r="O24" i="3"/>
  <c r="L24" i="3"/>
  <c r="X23" i="3"/>
  <c r="W23" i="3"/>
  <c r="U23" i="3"/>
  <c r="V23" i="3" s="1"/>
  <c r="T23" i="3"/>
  <c r="R23" i="3"/>
  <c r="O23" i="3"/>
  <c r="L23" i="3"/>
  <c r="T22" i="3"/>
  <c r="W22" i="3" s="1"/>
  <c r="R22" i="3"/>
  <c r="O22" i="3"/>
  <c r="L22" i="3"/>
  <c r="T21" i="3"/>
  <c r="U21" i="3" s="1"/>
  <c r="V21" i="3" s="1"/>
  <c r="R21" i="3"/>
  <c r="O21" i="3"/>
  <c r="L21" i="3"/>
  <c r="T20" i="3"/>
  <c r="X20" i="3" s="1"/>
  <c r="R20" i="3"/>
  <c r="O20" i="3"/>
  <c r="L20" i="3"/>
  <c r="T19" i="3"/>
  <c r="X19" i="3" s="1"/>
  <c r="R19" i="3"/>
  <c r="O19" i="3"/>
  <c r="L19" i="3"/>
  <c r="X18" i="3"/>
  <c r="W18" i="3"/>
  <c r="V18" i="3"/>
  <c r="U18" i="3"/>
  <c r="T18" i="3"/>
  <c r="R18" i="3"/>
  <c r="O18" i="3"/>
  <c r="L18" i="3"/>
  <c r="X17" i="3"/>
  <c r="W17" i="3"/>
  <c r="V17" i="3"/>
  <c r="U17" i="3"/>
  <c r="T17" i="3"/>
  <c r="R17" i="3"/>
  <c r="O17" i="3"/>
  <c r="L17" i="3"/>
  <c r="X16" i="3"/>
  <c r="W16" i="3"/>
  <c r="T16" i="3"/>
  <c r="U16" i="3" s="1"/>
  <c r="V16" i="3" s="1"/>
  <c r="R16" i="3"/>
  <c r="O16" i="3"/>
  <c r="L16" i="3"/>
  <c r="X15" i="3"/>
  <c r="W15" i="3"/>
  <c r="U15" i="3"/>
  <c r="V15" i="3" s="1"/>
  <c r="T15" i="3"/>
  <c r="R15" i="3"/>
  <c r="O15" i="3"/>
  <c r="L15" i="3"/>
  <c r="T14" i="3"/>
  <c r="W14" i="3" s="1"/>
  <c r="R14" i="3"/>
  <c r="O14" i="3"/>
  <c r="L14" i="3"/>
  <c r="T13" i="3"/>
  <c r="U13" i="3" s="1"/>
  <c r="V13" i="3" s="1"/>
  <c r="R13" i="3"/>
  <c r="O13" i="3"/>
  <c r="L13" i="3"/>
  <c r="T12" i="3"/>
  <c r="X12" i="3" s="1"/>
  <c r="R12" i="3"/>
  <c r="O12" i="3"/>
  <c r="L12" i="3"/>
  <c r="T11" i="3"/>
  <c r="X11" i="3" s="1"/>
  <c r="R11" i="3"/>
  <c r="O11" i="3"/>
  <c r="L11" i="3"/>
  <c r="X10" i="3"/>
  <c r="W10" i="3"/>
  <c r="V10" i="3"/>
  <c r="U10" i="3"/>
  <c r="T10" i="3"/>
  <c r="R10" i="3"/>
  <c r="O10" i="3"/>
  <c r="L10" i="3"/>
  <c r="X9" i="3"/>
  <c r="W9" i="3"/>
  <c r="T9" i="3"/>
  <c r="U9" i="3" s="1"/>
  <c r="V9" i="3" s="1"/>
  <c r="R9" i="3"/>
  <c r="O9" i="3"/>
  <c r="L9" i="3"/>
  <c r="X8" i="3"/>
  <c r="W8" i="3"/>
  <c r="V8" i="3"/>
  <c r="U8" i="3"/>
  <c r="T8" i="3"/>
  <c r="R8" i="3"/>
  <c r="O8" i="3"/>
  <c r="L8" i="3"/>
  <c r="X7" i="3"/>
  <c r="W7" i="3"/>
  <c r="U7" i="3"/>
  <c r="V7" i="3" s="1"/>
  <c r="T7" i="3"/>
  <c r="R7" i="3"/>
  <c r="O7" i="3"/>
  <c r="L7" i="3"/>
  <c r="D7" i="3"/>
  <c r="H4" i="3" s="1"/>
  <c r="T6" i="3"/>
  <c r="W6" i="3" s="1"/>
  <c r="R6" i="3"/>
  <c r="O6" i="3"/>
  <c r="L6" i="3"/>
  <c r="T5" i="3"/>
  <c r="U5" i="3" s="1"/>
  <c r="V5" i="3" s="1"/>
  <c r="R5" i="3"/>
  <c r="O5" i="3"/>
  <c r="L5" i="3"/>
  <c r="T4" i="3"/>
  <c r="U4" i="3" s="1"/>
  <c r="R4" i="3"/>
  <c r="O4" i="3"/>
  <c r="L4" i="3"/>
  <c r="D20" i="1"/>
  <c r="D28" i="1"/>
  <c r="D27" i="1"/>
  <c r="S35" i="1"/>
  <c r="Q35" i="1"/>
  <c r="N35" i="1"/>
  <c r="K35" i="1"/>
  <c r="P35" i="1"/>
  <c r="M35" i="1"/>
  <c r="J35" i="1"/>
  <c r="D26" i="1" s="1"/>
  <c r="D30" i="1" s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U5" i="1"/>
  <c r="U6" i="1"/>
  <c r="U7" i="1"/>
  <c r="U8" i="1"/>
  <c r="U15" i="1"/>
  <c r="U16" i="1"/>
  <c r="U17" i="1"/>
  <c r="U18" i="1"/>
  <c r="U19" i="1"/>
  <c r="U20" i="1"/>
  <c r="U27" i="1"/>
  <c r="U28" i="1"/>
  <c r="U29" i="1"/>
  <c r="U30" i="1"/>
  <c r="U31" i="1"/>
  <c r="U32" i="1"/>
  <c r="T5" i="1"/>
  <c r="T6" i="1"/>
  <c r="T7" i="1"/>
  <c r="T8" i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T16" i="1"/>
  <c r="T17" i="1"/>
  <c r="T18" i="1"/>
  <c r="T19" i="1"/>
  <c r="T20" i="1"/>
  <c r="T21" i="1"/>
  <c r="U21" i="1" s="1"/>
  <c r="V21" i="1" s="1"/>
  <c r="T22" i="1"/>
  <c r="U22" i="1" s="1"/>
  <c r="T23" i="1"/>
  <c r="T24" i="1"/>
  <c r="U24" i="1" s="1"/>
  <c r="T25" i="1"/>
  <c r="U25" i="1" s="1"/>
  <c r="T26" i="1"/>
  <c r="T27" i="1"/>
  <c r="T28" i="1"/>
  <c r="T29" i="1"/>
  <c r="T30" i="1"/>
  <c r="T31" i="1"/>
  <c r="T32" i="1"/>
  <c r="T33" i="1"/>
  <c r="U33" i="1" s="1"/>
  <c r="T34" i="1"/>
  <c r="T4" i="1"/>
  <c r="U4" i="1" s="1"/>
  <c r="V4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4" i="1"/>
  <c r="L3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4" i="1"/>
  <c r="D7" i="1"/>
  <c r="D9" i="1" s="1"/>
  <c r="V28" i="14" l="1"/>
  <c r="V16" i="14"/>
  <c r="V14" i="14"/>
  <c r="V27" i="14"/>
  <c r="V22" i="14"/>
  <c r="V13" i="14"/>
  <c r="U24" i="14"/>
  <c r="V32" i="14"/>
  <c r="U26" i="14"/>
  <c r="H35" i="14"/>
  <c r="D26" i="14" s="1"/>
  <c r="N35" i="14"/>
  <c r="D28" i="14" s="1"/>
  <c r="R17" i="14"/>
  <c r="S17" i="14" s="1"/>
  <c r="T17" i="14" s="1"/>
  <c r="R29" i="14"/>
  <c r="V29" i="14" s="1"/>
  <c r="S25" i="14"/>
  <c r="T25" i="14" s="1"/>
  <c r="U17" i="14"/>
  <c r="V33" i="14"/>
  <c r="U25" i="14"/>
  <c r="V25" i="14"/>
  <c r="V17" i="14"/>
  <c r="S24" i="14"/>
  <c r="T24" i="14" s="1"/>
  <c r="U5" i="14"/>
  <c r="U8" i="14"/>
  <c r="V26" i="14"/>
  <c r="S10" i="14"/>
  <c r="T10" i="14" s="1"/>
  <c r="U9" i="14"/>
  <c r="V24" i="14"/>
  <c r="S32" i="14"/>
  <c r="T32" i="14" s="1"/>
  <c r="R35" i="14"/>
  <c r="V8" i="14"/>
  <c r="U32" i="14"/>
  <c r="U34" i="14"/>
  <c r="S4" i="14"/>
  <c r="T4" i="14" s="1"/>
  <c r="S13" i="14"/>
  <c r="T13" i="14" s="1"/>
  <c r="V34" i="14"/>
  <c r="U4" i="14"/>
  <c r="S16" i="14"/>
  <c r="T16" i="14" s="1"/>
  <c r="D30" i="14"/>
  <c r="D33" i="14" s="1"/>
  <c r="S30" i="14"/>
  <c r="T30" i="14" s="1"/>
  <c r="V4" i="14"/>
  <c r="U16" i="14"/>
  <c r="V18" i="14"/>
  <c r="U11" i="14"/>
  <c r="S21" i="14"/>
  <c r="T21" i="14" s="1"/>
  <c r="V9" i="14"/>
  <c r="U33" i="14"/>
  <c r="S5" i="14"/>
  <c r="T5" i="14" s="1"/>
  <c r="D9" i="3"/>
  <c r="H4" i="5"/>
  <c r="H4" i="6"/>
  <c r="H5" i="6" s="1"/>
  <c r="D9" i="7"/>
  <c r="H5" i="7" s="1"/>
  <c r="H4" i="8"/>
  <c r="H5" i="8" s="1"/>
  <c r="H4" i="12"/>
  <c r="H5" i="12" s="1"/>
  <c r="I5" i="12" s="1"/>
  <c r="H4" i="13"/>
  <c r="D20" i="14"/>
  <c r="D22" i="14"/>
  <c r="S7" i="14"/>
  <c r="T7" i="14" s="1"/>
  <c r="S6" i="14"/>
  <c r="T6" i="14" s="1"/>
  <c r="S31" i="14"/>
  <c r="T31" i="14" s="1"/>
  <c r="U7" i="14"/>
  <c r="S14" i="14"/>
  <c r="T14" i="14" s="1"/>
  <c r="U15" i="14"/>
  <c r="S22" i="14"/>
  <c r="T22" i="14" s="1"/>
  <c r="U23" i="14"/>
  <c r="U6" i="14"/>
  <c r="V15" i="14"/>
  <c r="V23" i="14"/>
  <c r="U31" i="14"/>
  <c r="S12" i="14"/>
  <c r="T12" i="14" s="1"/>
  <c r="U14" i="14"/>
  <c r="U22" i="14"/>
  <c r="D24" i="14"/>
  <c r="S29" i="14"/>
  <c r="T29" i="14" s="1"/>
  <c r="U13" i="14"/>
  <c r="S20" i="14"/>
  <c r="T20" i="14" s="1"/>
  <c r="U21" i="14"/>
  <c r="U30" i="14"/>
  <c r="S11" i="14"/>
  <c r="T11" i="14" s="1"/>
  <c r="U12" i="14"/>
  <c r="S19" i="14"/>
  <c r="T19" i="14" s="1"/>
  <c r="S28" i="14"/>
  <c r="T28" i="14" s="1"/>
  <c r="U20" i="14"/>
  <c r="S27" i="14"/>
  <c r="T27" i="14" s="1"/>
  <c r="S18" i="14"/>
  <c r="T18" i="14" s="1"/>
  <c r="U19" i="14"/>
  <c r="S26" i="14"/>
  <c r="T26" i="14" s="1"/>
  <c r="U28" i="14"/>
  <c r="U10" i="14"/>
  <c r="U27" i="14"/>
  <c r="H5" i="13"/>
  <c r="D33" i="13"/>
  <c r="D34" i="13"/>
  <c r="D20" i="13"/>
  <c r="D22" i="13"/>
  <c r="I4" i="13"/>
  <c r="U7" i="13"/>
  <c r="V7" i="13" s="1"/>
  <c r="X9" i="13"/>
  <c r="U15" i="13"/>
  <c r="V15" i="13" s="1"/>
  <c r="U23" i="13"/>
  <c r="V23" i="13" s="1"/>
  <c r="D18" i="13"/>
  <c r="W7" i="13"/>
  <c r="U14" i="13"/>
  <c r="V14" i="13" s="1"/>
  <c r="W15" i="13"/>
  <c r="U22" i="13"/>
  <c r="V22" i="13" s="1"/>
  <c r="W23" i="13"/>
  <c r="U12" i="13"/>
  <c r="V12" i="13" s="1"/>
  <c r="W14" i="13"/>
  <c r="D16" i="13"/>
  <c r="W22" i="13"/>
  <c r="D24" i="13"/>
  <c r="U29" i="13"/>
  <c r="V29" i="13" s="1"/>
  <c r="W5" i="13"/>
  <c r="W35" i="13" s="1"/>
  <c r="W13" i="13"/>
  <c r="U20" i="13"/>
  <c r="V20" i="13" s="1"/>
  <c r="W21" i="13"/>
  <c r="W30" i="13"/>
  <c r="V4" i="13"/>
  <c r="U11" i="13"/>
  <c r="V11" i="13" s="1"/>
  <c r="W12" i="13"/>
  <c r="U19" i="13"/>
  <c r="V19" i="13" s="1"/>
  <c r="U28" i="13"/>
  <c r="V28" i="13" s="1"/>
  <c r="W29" i="13"/>
  <c r="W20" i="13"/>
  <c r="U27" i="13"/>
  <c r="V27" i="13" s="1"/>
  <c r="U18" i="13"/>
  <c r="V18" i="13" s="1"/>
  <c r="W19" i="13"/>
  <c r="U26" i="13"/>
  <c r="V26" i="13" s="1"/>
  <c r="W28" i="13"/>
  <c r="W10" i="13"/>
  <c r="W27" i="13"/>
  <c r="H6" i="12"/>
  <c r="D33" i="12"/>
  <c r="D34" i="12"/>
  <c r="D20" i="12"/>
  <c r="D22" i="12"/>
  <c r="I4" i="12"/>
  <c r="U7" i="12"/>
  <c r="V7" i="12" s="1"/>
  <c r="U15" i="12"/>
  <c r="V15" i="12" s="1"/>
  <c r="U23" i="12"/>
  <c r="V23" i="12" s="1"/>
  <c r="D18" i="12"/>
  <c r="W7" i="12"/>
  <c r="U14" i="12"/>
  <c r="V14" i="12" s="1"/>
  <c r="W15" i="12"/>
  <c r="U22" i="12"/>
  <c r="V22" i="12" s="1"/>
  <c r="W23" i="12"/>
  <c r="U5" i="12"/>
  <c r="V5" i="12" s="1"/>
  <c r="W6" i="12"/>
  <c r="U13" i="12"/>
  <c r="V13" i="12" s="1"/>
  <c r="U21" i="12"/>
  <c r="V21" i="12" s="1"/>
  <c r="U30" i="12"/>
  <c r="V30" i="12" s="1"/>
  <c r="W31" i="12"/>
  <c r="W14" i="12"/>
  <c r="D16" i="12"/>
  <c r="W22" i="12"/>
  <c r="D24" i="12"/>
  <c r="U4" i="12"/>
  <c r="U20" i="12"/>
  <c r="V20" i="12" s="1"/>
  <c r="W4" i="12"/>
  <c r="U10" i="12"/>
  <c r="V10" i="12" s="1"/>
  <c r="W20" i="12"/>
  <c r="U27" i="12"/>
  <c r="V27" i="12" s="1"/>
  <c r="X4" i="12"/>
  <c r="U18" i="12"/>
  <c r="V18" i="12" s="1"/>
  <c r="U26" i="12"/>
  <c r="V26" i="12" s="1"/>
  <c r="W28" i="12"/>
  <c r="W10" i="12"/>
  <c r="W27" i="12"/>
  <c r="I5" i="11"/>
  <c r="H6" i="11"/>
  <c r="D33" i="11"/>
  <c r="D34" i="11"/>
  <c r="D20" i="11"/>
  <c r="D22" i="11"/>
  <c r="I4" i="11"/>
  <c r="U7" i="11"/>
  <c r="V7" i="11" s="1"/>
  <c r="U15" i="11"/>
  <c r="V15" i="11" s="1"/>
  <c r="U23" i="11"/>
  <c r="V23" i="11" s="1"/>
  <c r="W7" i="11"/>
  <c r="U14" i="11"/>
  <c r="V14" i="11" s="1"/>
  <c r="W15" i="11"/>
  <c r="U22" i="11"/>
  <c r="V22" i="11" s="1"/>
  <c r="W23" i="11"/>
  <c r="U6" i="11"/>
  <c r="V6" i="11" s="1"/>
  <c r="D18" i="11"/>
  <c r="U5" i="11"/>
  <c r="V5" i="11" s="1"/>
  <c r="W6" i="11"/>
  <c r="U13" i="11"/>
  <c r="V13" i="11" s="1"/>
  <c r="U21" i="11"/>
  <c r="V21" i="11" s="1"/>
  <c r="U30" i="11"/>
  <c r="V30" i="11" s="1"/>
  <c r="W31" i="11"/>
  <c r="U12" i="11"/>
  <c r="V12" i="11" s="1"/>
  <c r="W14" i="11"/>
  <c r="D16" i="11"/>
  <c r="W22" i="11"/>
  <c r="D24" i="11"/>
  <c r="U29" i="11"/>
  <c r="V29" i="11" s="1"/>
  <c r="X31" i="11"/>
  <c r="W21" i="11"/>
  <c r="W30" i="11"/>
  <c r="V4" i="11"/>
  <c r="U11" i="11"/>
  <c r="V11" i="11" s="1"/>
  <c r="W12" i="11"/>
  <c r="U19" i="11"/>
  <c r="V19" i="11" s="1"/>
  <c r="U28" i="11"/>
  <c r="V28" i="11" s="1"/>
  <c r="W29" i="11"/>
  <c r="W4" i="11"/>
  <c r="W20" i="11"/>
  <c r="U27" i="11"/>
  <c r="V27" i="11" s="1"/>
  <c r="X4" i="11"/>
  <c r="W11" i="11"/>
  <c r="U18" i="11"/>
  <c r="V18" i="11" s="1"/>
  <c r="W19" i="11"/>
  <c r="U26" i="11"/>
  <c r="V26" i="11" s="1"/>
  <c r="W28" i="11"/>
  <c r="W10" i="11"/>
  <c r="W27" i="11"/>
  <c r="D33" i="10"/>
  <c r="D34" i="10"/>
  <c r="H5" i="10"/>
  <c r="D20" i="10"/>
  <c r="D22" i="10"/>
  <c r="I4" i="10"/>
  <c r="U7" i="10"/>
  <c r="V7" i="10" s="1"/>
  <c r="U15" i="10"/>
  <c r="V15" i="10" s="1"/>
  <c r="U23" i="10"/>
  <c r="V23" i="10" s="1"/>
  <c r="W7" i="10"/>
  <c r="U14" i="10"/>
  <c r="V14" i="10" s="1"/>
  <c r="W15" i="10"/>
  <c r="U22" i="10"/>
  <c r="V22" i="10" s="1"/>
  <c r="W23" i="10"/>
  <c r="U5" i="10"/>
  <c r="V5" i="10" s="1"/>
  <c r="W6" i="10"/>
  <c r="W35" i="10" s="1"/>
  <c r="X7" i="10"/>
  <c r="U13" i="10"/>
  <c r="V13" i="10" s="1"/>
  <c r="U21" i="10"/>
  <c r="V21" i="10" s="1"/>
  <c r="U30" i="10"/>
  <c r="V30" i="10" s="1"/>
  <c r="W31" i="10"/>
  <c r="U12" i="10"/>
  <c r="V12" i="10" s="1"/>
  <c r="W14" i="10"/>
  <c r="D16" i="10"/>
  <c r="W22" i="10"/>
  <c r="D24" i="10"/>
  <c r="U29" i="10"/>
  <c r="V29" i="10" s="1"/>
  <c r="W21" i="10"/>
  <c r="W30" i="10"/>
  <c r="V4" i="10"/>
  <c r="U11" i="10"/>
  <c r="V11" i="10" s="1"/>
  <c r="U19" i="10"/>
  <c r="V19" i="10" s="1"/>
  <c r="U28" i="10"/>
  <c r="V28" i="10" s="1"/>
  <c r="W29" i="10"/>
  <c r="U27" i="10"/>
  <c r="V27" i="10" s="1"/>
  <c r="X4" i="10"/>
  <c r="W11" i="10"/>
  <c r="U18" i="10"/>
  <c r="V18" i="10" s="1"/>
  <c r="W19" i="10"/>
  <c r="U26" i="10"/>
  <c r="V26" i="10" s="1"/>
  <c r="W28" i="10"/>
  <c r="W10" i="10"/>
  <c r="W27" i="10"/>
  <c r="I5" i="9"/>
  <c r="H6" i="9"/>
  <c r="D20" i="9"/>
  <c r="D22" i="9"/>
  <c r="D33" i="9"/>
  <c r="D34" i="9"/>
  <c r="I4" i="9"/>
  <c r="U7" i="9"/>
  <c r="V7" i="9" s="1"/>
  <c r="U15" i="9"/>
  <c r="V15" i="9" s="1"/>
  <c r="U23" i="9"/>
  <c r="V23" i="9" s="1"/>
  <c r="D18" i="9"/>
  <c r="U31" i="9"/>
  <c r="V31" i="9" s="1"/>
  <c r="W7" i="9"/>
  <c r="U14" i="9"/>
  <c r="V14" i="9" s="1"/>
  <c r="W15" i="9"/>
  <c r="U22" i="9"/>
  <c r="V22" i="9" s="1"/>
  <c r="W23" i="9"/>
  <c r="U5" i="9"/>
  <c r="V5" i="9" s="1"/>
  <c r="W6" i="9"/>
  <c r="W35" i="9" s="1"/>
  <c r="U13" i="9"/>
  <c r="V13" i="9" s="1"/>
  <c r="U21" i="9"/>
  <c r="V21" i="9" s="1"/>
  <c r="U30" i="9"/>
  <c r="V30" i="9" s="1"/>
  <c r="W31" i="9"/>
  <c r="U12" i="9"/>
  <c r="V12" i="9" s="1"/>
  <c r="W14" i="9"/>
  <c r="D16" i="9"/>
  <c r="W22" i="9"/>
  <c r="D24" i="9"/>
  <c r="U29" i="9"/>
  <c r="V29" i="9" s="1"/>
  <c r="W13" i="9"/>
  <c r="U20" i="9"/>
  <c r="V20" i="9" s="1"/>
  <c r="W21" i="9"/>
  <c r="W30" i="9"/>
  <c r="V4" i="9"/>
  <c r="U11" i="9"/>
  <c r="V11" i="9" s="1"/>
  <c r="U19" i="9"/>
  <c r="V19" i="9" s="1"/>
  <c r="U28" i="9"/>
  <c r="V28" i="9" s="1"/>
  <c r="W29" i="9"/>
  <c r="W20" i="9"/>
  <c r="U27" i="9"/>
  <c r="V27" i="9" s="1"/>
  <c r="U18" i="9"/>
  <c r="V18" i="9" s="1"/>
  <c r="W19" i="9"/>
  <c r="U26" i="9"/>
  <c r="V26" i="9" s="1"/>
  <c r="W28" i="9"/>
  <c r="W10" i="9"/>
  <c r="W27" i="9"/>
  <c r="D20" i="8"/>
  <c r="D22" i="8"/>
  <c r="D33" i="8"/>
  <c r="D34" i="8"/>
  <c r="I5" i="8"/>
  <c r="H6" i="8"/>
  <c r="I4" i="8"/>
  <c r="U7" i="8"/>
  <c r="V7" i="8" s="1"/>
  <c r="U15" i="8"/>
  <c r="V15" i="8" s="1"/>
  <c r="U23" i="8"/>
  <c r="V23" i="8" s="1"/>
  <c r="D18" i="8"/>
  <c r="U31" i="8"/>
  <c r="V31" i="8" s="1"/>
  <c r="W7" i="8"/>
  <c r="W15" i="8"/>
  <c r="W23" i="8"/>
  <c r="U5" i="8"/>
  <c r="V5" i="8" s="1"/>
  <c r="W6" i="8"/>
  <c r="U13" i="8"/>
  <c r="V13" i="8" s="1"/>
  <c r="U21" i="8"/>
  <c r="V21" i="8" s="1"/>
  <c r="U30" i="8"/>
  <c r="V30" i="8" s="1"/>
  <c r="W31" i="8"/>
  <c r="W14" i="8"/>
  <c r="W35" i="8" s="1"/>
  <c r="D16" i="8"/>
  <c r="W22" i="8"/>
  <c r="D24" i="8"/>
  <c r="U29" i="8"/>
  <c r="V29" i="8" s="1"/>
  <c r="W5" i="8"/>
  <c r="U20" i="8"/>
  <c r="V20" i="8" s="1"/>
  <c r="W30" i="8"/>
  <c r="W20" i="8"/>
  <c r="U27" i="8"/>
  <c r="V27" i="8" s="1"/>
  <c r="X4" i="8"/>
  <c r="U18" i="8"/>
  <c r="V18" i="8" s="1"/>
  <c r="W19" i="8"/>
  <c r="U26" i="8"/>
  <c r="V26" i="8" s="1"/>
  <c r="W28" i="8"/>
  <c r="W10" i="8"/>
  <c r="W27" i="8"/>
  <c r="D20" i="7"/>
  <c r="D22" i="7"/>
  <c r="D33" i="7"/>
  <c r="D34" i="7"/>
  <c r="U7" i="7"/>
  <c r="V7" i="7" s="1"/>
  <c r="U15" i="7"/>
  <c r="V15" i="7" s="1"/>
  <c r="U23" i="7"/>
  <c r="V23" i="7" s="1"/>
  <c r="I4" i="7"/>
  <c r="U6" i="7"/>
  <c r="V6" i="7" s="1"/>
  <c r="D18" i="7"/>
  <c r="U31" i="7"/>
  <c r="V31" i="7" s="1"/>
  <c r="W7" i="7"/>
  <c r="W15" i="7"/>
  <c r="W23" i="7"/>
  <c r="U5" i="7"/>
  <c r="V5" i="7" s="1"/>
  <c r="W31" i="7"/>
  <c r="U12" i="7"/>
  <c r="V12" i="7" s="1"/>
  <c r="W14" i="7"/>
  <c r="D16" i="7"/>
  <c r="W22" i="7"/>
  <c r="D24" i="7"/>
  <c r="U29" i="7"/>
  <c r="V29" i="7" s="1"/>
  <c r="W5" i="7"/>
  <c r="W35" i="7" s="1"/>
  <c r="W13" i="7"/>
  <c r="U20" i="7"/>
  <c r="V20" i="7" s="1"/>
  <c r="W21" i="7"/>
  <c r="W30" i="7"/>
  <c r="V4" i="7"/>
  <c r="U11" i="7"/>
  <c r="V11" i="7" s="1"/>
  <c r="W12" i="7"/>
  <c r="U19" i="7"/>
  <c r="V19" i="7" s="1"/>
  <c r="U28" i="7"/>
  <c r="V28" i="7" s="1"/>
  <c r="W29" i="7"/>
  <c r="W20" i="7"/>
  <c r="U27" i="7"/>
  <c r="V27" i="7" s="1"/>
  <c r="X4" i="7"/>
  <c r="U18" i="7"/>
  <c r="V18" i="7" s="1"/>
  <c r="W19" i="7"/>
  <c r="U26" i="7"/>
  <c r="V26" i="7" s="1"/>
  <c r="W28" i="7"/>
  <c r="W10" i="7"/>
  <c r="W27" i="7"/>
  <c r="I5" i="6"/>
  <c r="H6" i="6"/>
  <c r="D33" i="6"/>
  <c r="D34" i="6"/>
  <c r="D20" i="6"/>
  <c r="D22" i="6"/>
  <c r="I4" i="6"/>
  <c r="U7" i="6"/>
  <c r="V7" i="6" s="1"/>
  <c r="U15" i="6"/>
  <c r="V15" i="6" s="1"/>
  <c r="U23" i="6"/>
  <c r="V23" i="6" s="1"/>
  <c r="U6" i="6"/>
  <c r="V6" i="6" s="1"/>
  <c r="D18" i="6"/>
  <c r="U31" i="6"/>
  <c r="V31" i="6" s="1"/>
  <c r="W7" i="6"/>
  <c r="U14" i="6"/>
  <c r="V14" i="6" s="1"/>
  <c r="W15" i="6"/>
  <c r="U22" i="6"/>
  <c r="V22" i="6" s="1"/>
  <c r="W23" i="6"/>
  <c r="U5" i="6"/>
  <c r="V5" i="6" s="1"/>
  <c r="W6" i="6"/>
  <c r="U30" i="6"/>
  <c r="V30" i="6" s="1"/>
  <c r="W31" i="6"/>
  <c r="U12" i="6"/>
  <c r="V12" i="6" s="1"/>
  <c r="W14" i="6"/>
  <c r="D16" i="6"/>
  <c r="W22" i="6"/>
  <c r="D24" i="6"/>
  <c r="U29" i="6"/>
  <c r="V29" i="6" s="1"/>
  <c r="U4" i="6"/>
  <c r="W5" i="6"/>
  <c r="W35" i="6" s="1"/>
  <c r="W13" i="6"/>
  <c r="U20" i="6"/>
  <c r="V20" i="6" s="1"/>
  <c r="W21" i="6"/>
  <c r="W30" i="6"/>
  <c r="U11" i="6"/>
  <c r="V11" i="6" s="1"/>
  <c r="W12" i="6"/>
  <c r="U19" i="6"/>
  <c r="V19" i="6" s="1"/>
  <c r="U28" i="6"/>
  <c r="V28" i="6" s="1"/>
  <c r="W29" i="6"/>
  <c r="W20" i="6"/>
  <c r="X4" i="6"/>
  <c r="U18" i="6"/>
  <c r="V18" i="6" s="1"/>
  <c r="W19" i="6"/>
  <c r="U26" i="6"/>
  <c r="V26" i="6" s="1"/>
  <c r="W28" i="6"/>
  <c r="W10" i="6"/>
  <c r="W27" i="6"/>
  <c r="D20" i="5"/>
  <c r="D22" i="5"/>
  <c r="D33" i="5"/>
  <c r="D34" i="5"/>
  <c r="H5" i="5"/>
  <c r="I4" i="5"/>
  <c r="U7" i="5"/>
  <c r="V7" i="5" s="1"/>
  <c r="U15" i="5"/>
  <c r="V15" i="5" s="1"/>
  <c r="U23" i="5"/>
  <c r="V23" i="5" s="1"/>
  <c r="D18" i="5"/>
  <c r="W7" i="5"/>
  <c r="U14" i="5"/>
  <c r="V14" i="5" s="1"/>
  <c r="W15" i="5"/>
  <c r="U22" i="5"/>
  <c r="V22" i="5" s="1"/>
  <c r="W23" i="5"/>
  <c r="W6" i="5"/>
  <c r="U30" i="5"/>
  <c r="V30" i="5" s="1"/>
  <c r="W31" i="5"/>
  <c r="U12" i="5"/>
  <c r="V12" i="5" s="1"/>
  <c r="W14" i="5"/>
  <c r="D16" i="5"/>
  <c r="W22" i="5"/>
  <c r="D24" i="5"/>
  <c r="U29" i="5"/>
  <c r="V29" i="5" s="1"/>
  <c r="V4" i="5"/>
  <c r="U11" i="5"/>
  <c r="V11" i="5" s="1"/>
  <c r="W12" i="5"/>
  <c r="U19" i="5"/>
  <c r="V19" i="5" s="1"/>
  <c r="U28" i="5"/>
  <c r="V28" i="5" s="1"/>
  <c r="W29" i="5"/>
  <c r="W4" i="5"/>
  <c r="W20" i="5"/>
  <c r="U27" i="5"/>
  <c r="V27" i="5" s="1"/>
  <c r="X4" i="5"/>
  <c r="W11" i="5"/>
  <c r="U18" i="5"/>
  <c r="V18" i="5" s="1"/>
  <c r="W19" i="5"/>
  <c r="U26" i="5"/>
  <c r="V26" i="5" s="1"/>
  <c r="W28" i="5"/>
  <c r="W10" i="5"/>
  <c r="W27" i="5"/>
  <c r="D33" i="4"/>
  <c r="D34" i="4"/>
  <c r="D20" i="4"/>
  <c r="D22" i="4"/>
  <c r="H5" i="4"/>
  <c r="I4" i="4"/>
  <c r="U7" i="4"/>
  <c r="V7" i="4" s="1"/>
  <c r="X9" i="4"/>
  <c r="U15" i="4"/>
  <c r="V15" i="4" s="1"/>
  <c r="U23" i="4"/>
  <c r="V23" i="4" s="1"/>
  <c r="U6" i="4"/>
  <c r="V6" i="4" s="1"/>
  <c r="D18" i="4"/>
  <c r="U31" i="4"/>
  <c r="V31" i="4" s="1"/>
  <c r="W7" i="4"/>
  <c r="W35" i="4" s="1"/>
  <c r="W15" i="4"/>
  <c r="W23" i="4"/>
  <c r="U5" i="4"/>
  <c r="V5" i="4" s="1"/>
  <c r="U13" i="4"/>
  <c r="V13" i="4" s="1"/>
  <c r="U21" i="4"/>
  <c r="V21" i="4" s="1"/>
  <c r="U30" i="4"/>
  <c r="V30" i="4" s="1"/>
  <c r="W31" i="4"/>
  <c r="D16" i="4"/>
  <c r="D24" i="4"/>
  <c r="W13" i="4"/>
  <c r="U20" i="4"/>
  <c r="V20" i="4" s="1"/>
  <c r="W21" i="4"/>
  <c r="W30" i="4"/>
  <c r="V4" i="4"/>
  <c r="W20" i="4"/>
  <c r="U27" i="4"/>
  <c r="V27" i="4" s="1"/>
  <c r="U18" i="4"/>
  <c r="V18" i="4" s="1"/>
  <c r="U26" i="4"/>
  <c r="V26" i="4" s="1"/>
  <c r="W10" i="4"/>
  <c r="W27" i="4"/>
  <c r="H5" i="3"/>
  <c r="I4" i="3"/>
  <c r="D33" i="3"/>
  <c r="D34" i="3"/>
  <c r="V4" i="3"/>
  <c r="D18" i="3"/>
  <c r="U31" i="3"/>
  <c r="V31" i="3" s="1"/>
  <c r="U14" i="3"/>
  <c r="V14" i="3" s="1"/>
  <c r="W13" i="3"/>
  <c r="X14" i="3"/>
  <c r="U20" i="3"/>
  <c r="V20" i="3" s="1"/>
  <c r="W21" i="3"/>
  <c r="X22" i="3"/>
  <c r="W30" i="3"/>
  <c r="X5" i="3"/>
  <c r="U11" i="3"/>
  <c r="V11" i="3" s="1"/>
  <c r="W12" i="3"/>
  <c r="X13" i="3"/>
  <c r="U19" i="3"/>
  <c r="V19" i="3" s="1"/>
  <c r="X21" i="3"/>
  <c r="U28" i="3"/>
  <c r="V28" i="3" s="1"/>
  <c r="W29" i="3"/>
  <c r="X30" i="3"/>
  <c r="U22" i="3"/>
  <c r="V22" i="3" s="1"/>
  <c r="X6" i="3"/>
  <c r="U12" i="3"/>
  <c r="V12" i="3" s="1"/>
  <c r="X31" i="3"/>
  <c r="W5" i="3"/>
  <c r="W4" i="3"/>
  <c r="W20" i="3"/>
  <c r="X29" i="3"/>
  <c r="U6" i="3"/>
  <c r="V6" i="3" s="1"/>
  <c r="D16" i="3"/>
  <c r="X4" i="3"/>
  <c r="W11" i="3"/>
  <c r="W19" i="3"/>
  <c r="W28" i="3"/>
  <c r="T35" i="3"/>
  <c r="D24" i="3"/>
  <c r="U35" i="1"/>
  <c r="T35" i="1"/>
  <c r="D22" i="1" s="1"/>
  <c r="D16" i="1"/>
  <c r="D24" i="1"/>
  <c r="W21" i="1"/>
  <c r="W35" i="1" s="1"/>
  <c r="D18" i="1"/>
  <c r="D34" i="1"/>
  <c r="D33" i="1"/>
  <c r="X21" i="1"/>
  <c r="U34" i="1"/>
  <c r="U26" i="1"/>
  <c r="U23" i="1"/>
  <c r="H4" i="1"/>
  <c r="U29" i="14" l="1"/>
  <c r="D16" i="14"/>
  <c r="D18" i="14"/>
  <c r="D34" i="14"/>
  <c r="U35" i="14"/>
  <c r="I5" i="7"/>
  <c r="H6" i="7"/>
  <c r="I6" i="7" s="1"/>
  <c r="S35" i="14"/>
  <c r="I5" i="13"/>
  <c r="H6" i="13"/>
  <c r="U35" i="13"/>
  <c r="W35" i="12"/>
  <c r="U35" i="12"/>
  <c r="V4" i="12"/>
  <c r="H7" i="12"/>
  <c r="I6" i="12"/>
  <c r="U35" i="11"/>
  <c r="W35" i="11"/>
  <c r="I6" i="11"/>
  <c r="H7" i="11"/>
  <c r="I5" i="10"/>
  <c r="H6" i="10"/>
  <c r="U35" i="10"/>
  <c r="U35" i="9"/>
  <c r="I6" i="9"/>
  <c r="H7" i="9"/>
  <c r="U35" i="8"/>
  <c r="I6" i="8"/>
  <c r="H7" i="8"/>
  <c r="H7" i="7"/>
  <c r="U35" i="7"/>
  <c r="U35" i="6"/>
  <c r="V4" i="6"/>
  <c r="I6" i="6"/>
  <c r="H7" i="6"/>
  <c r="W35" i="5"/>
  <c r="U35" i="5"/>
  <c r="I5" i="5"/>
  <c r="H6" i="5"/>
  <c r="I5" i="4"/>
  <c r="H6" i="4"/>
  <c r="U35" i="4"/>
  <c r="W35" i="3"/>
  <c r="U35" i="3"/>
  <c r="D20" i="3"/>
  <c r="D22" i="3"/>
  <c r="I5" i="3"/>
  <c r="H6" i="3"/>
  <c r="I4" i="1"/>
  <c r="H5" i="1"/>
  <c r="I6" i="13" l="1"/>
  <c r="H7" i="13"/>
  <c r="I7" i="12"/>
  <c r="H8" i="12"/>
  <c r="I7" i="11"/>
  <c r="H8" i="11"/>
  <c r="I6" i="10"/>
  <c r="H7" i="10"/>
  <c r="I7" i="9"/>
  <c r="H8" i="9"/>
  <c r="I7" i="8"/>
  <c r="H8" i="8"/>
  <c r="I7" i="7"/>
  <c r="H8" i="7"/>
  <c r="I7" i="6"/>
  <c r="H8" i="6"/>
  <c r="I6" i="5"/>
  <c r="H7" i="5"/>
  <c r="I6" i="4"/>
  <c r="H7" i="4"/>
  <c r="I6" i="3"/>
  <c r="H7" i="3"/>
  <c r="H6" i="1"/>
  <c r="I5" i="1"/>
  <c r="I7" i="13" l="1"/>
  <c r="H8" i="13"/>
  <c r="I8" i="12"/>
  <c r="H9" i="12"/>
  <c r="I8" i="11"/>
  <c r="H9" i="11"/>
  <c r="I7" i="10"/>
  <c r="H8" i="10"/>
  <c r="I8" i="9"/>
  <c r="H9" i="9"/>
  <c r="I8" i="8"/>
  <c r="H9" i="8"/>
  <c r="I8" i="7"/>
  <c r="H9" i="7"/>
  <c r="I8" i="6"/>
  <c r="H9" i="6"/>
  <c r="I7" i="5"/>
  <c r="H8" i="5"/>
  <c r="I7" i="4"/>
  <c r="H8" i="4"/>
  <c r="H8" i="3"/>
  <c r="I7" i="3"/>
  <c r="H7" i="1"/>
  <c r="I6" i="1"/>
  <c r="I8" i="13" l="1"/>
  <c r="H9" i="13"/>
  <c r="I9" i="12"/>
  <c r="H10" i="12"/>
  <c r="I9" i="11"/>
  <c r="H10" i="11"/>
  <c r="I8" i="10"/>
  <c r="H9" i="10"/>
  <c r="I9" i="9"/>
  <c r="H10" i="9"/>
  <c r="I9" i="8"/>
  <c r="H10" i="8"/>
  <c r="I9" i="7"/>
  <c r="H10" i="7"/>
  <c r="I9" i="6"/>
  <c r="H10" i="6"/>
  <c r="I8" i="5"/>
  <c r="H9" i="5"/>
  <c r="I8" i="4"/>
  <c r="H9" i="4"/>
  <c r="H9" i="3"/>
  <c r="I8" i="3"/>
  <c r="H8" i="1"/>
  <c r="I7" i="1"/>
  <c r="I9" i="13" l="1"/>
  <c r="H10" i="13"/>
  <c r="I10" i="12"/>
  <c r="H11" i="12"/>
  <c r="I10" i="11"/>
  <c r="H11" i="11"/>
  <c r="H10" i="10"/>
  <c r="I9" i="10"/>
  <c r="I10" i="9"/>
  <c r="H11" i="9"/>
  <c r="I10" i="8"/>
  <c r="H11" i="8"/>
  <c r="I10" i="7"/>
  <c r="H11" i="7"/>
  <c r="I10" i="6"/>
  <c r="H11" i="6"/>
  <c r="I9" i="5"/>
  <c r="H10" i="5"/>
  <c r="I9" i="4"/>
  <c r="H10" i="4"/>
  <c r="I9" i="3"/>
  <c r="H10" i="3"/>
  <c r="H9" i="1"/>
  <c r="I8" i="1"/>
  <c r="I10" i="13" l="1"/>
  <c r="H11" i="13"/>
  <c r="H12" i="12"/>
  <c r="I11" i="12"/>
  <c r="H12" i="11"/>
  <c r="I11" i="11"/>
  <c r="I10" i="10"/>
  <c r="H11" i="10"/>
  <c r="H12" i="9"/>
  <c r="I11" i="9"/>
  <c r="H12" i="8"/>
  <c r="I11" i="8"/>
  <c r="H12" i="7"/>
  <c r="I11" i="7"/>
  <c r="H12" i="6"/>
  <c r="I11" i="6"/>
  <c r="I10" i="5"/>
  <c r="H11" i="5"/>
  <c r="I10" i="4"/>
  <c r="H11" i="4"/>
  <c r="I10" i="3"/>
  <c r="H11" i="3"/>
  <c r="H10" i="1"/>
  <c r="I9" i="1"/>
  <c r="H12" i="13" l="1"/>
  <c r="I11" i="13"/>
  <c r="H13" i="12"/>
  <c r="I12" i="12"/>
  <c r="H13" i="11"/>
  <c r="I12" i="11"/>
  <c r="H12" i="10"/>
  <c r="I11" i="10"/>
  <c r="H13" i="9"/>
  <c r="I12" i="9"/>
  <c r="H13" i="8"/>
  <c r="I12" i="8"/>
  <c r="H13" i="7"/>
  <c r="I12" i="7"/>
  <c r="H13" i="6"/>
  <c r="I12" i="6"/>
  <c r="H12" i="5"/>
  <c r="I11" i="5"/>
  <c r="H12" i="4"/>
  <c r="I11" i="4"/>
  <c r="H12" i="3"/>
  <c r="I11" i="3"/>
  <c r="H11" i="1"/>
  <c r="I10" i="1"/>
  <c r="H13" i="13" l="1"/>
  <c r="I12" i="13"/>
  <c r="I13" i="12"/>
  <c r="H14" i="12"/>
  <c r="I13" i="11"/>
  <c r="H14" i="11"/>
  <c r="H13" i="10"/>
  <c r="I12" i="10"/>
  <c r="I13" i="9"/>
  <c r="H14" i="9"/>
  <c r="I13" i="8"/>
  <c r="H14" i="8"/>
  <c r="I13" i="7"/>
  <c r="H14" i="7"/>
  <c r="I13" i="6"/>
  <c r="H14" i="6"/>
  <c r="I12" i="5"/>
  <c r="H13" i="5"/>
  <c r="H13" i="4"/>
  <c r="I12" i="4"/>
  <c r="H13" i="3"/>
  <c r="I12" i="3"/>
  <c r="H12" i="1"/>
  <c r="I11" i="1"/>
  <c r="I13" i="13" l="1"/>
  <c r="H14" i="13"/>
  <c r="I14" i="12"/>
  <c r="H15" i="12"/>
  <c r="I14" i="11"/>
  <c r="H15" i="11"/>
  <c r="I13" i="10"/>
  <c r="H14" i="10"/>
  <c r="I14" i="9"/>
  <c r="H15" i="9"/>
  <c r="I14" i="8"/>
  <c r="H15" i="8"/>
  <c r="I14" i="7"/>
  <c r="H15" i="7"/>
  <c r="I14" i="6"/>
  <c r="H15" i="6"/>
  <c r="I13" i="5"/>
  <c r="H14" i="5"/>
  <c r="I13" i="4"/>
  <c r="H14" i="4"/>
  <c r="I13" i="3"/>
  <c r="H14" i="3"/>
  <c r="H13" i="1"/>
  <c r="I12" i="1"/>
  <c r="I14" i="13" l="1"/>
  <c r="H15" i="13"/>
  <c r="I15" i="12"/>
  <c r="H16" i="12"/>
  <c r="I15" i="11"/>
  <c r="H16" i="11"/>
  <c r="I14" i="10"/>
  <c r="H15" i="10"/>
  <c r="I15" i="9"/>
  <c r="H16" i="9"/>
  <c r="I15" i="8"/>
  <c r="H16" i="8"/>
  <c r="I15" i="7"/>
  <c r="H16" i="7"/>
  <c r="I15" i="6"/>
  <c r="H16" i="6"/>
  <c r="I14" i="5"/>
  <c r="H15" i="5"/>
  <c r="I14" i="4"/>
  <c r="H15" i="4"/>
  <c r="I14" i="3"/>
  <c r="H15" i="3"/>
  <c r="H14" i="1"/>
  <c r="I13" i="1"/>
  <c r="I15" i="13" l="1"/>
  <c r="H16" i="13"/>
  <c r="I16" i="12"/>
  <c r="H17" i="12"/>
  <c r="I16" i="11"/>
  <c r="H17" i="11"/>
  <c r="I15" i="10"/>
  <c r="H16" i="10"/>
  <c r="I16" i="9"/>
  <c r="H17" i="9"/>
  <c r="I16" i="8"/>
  <c r="H17" i="8"/>
  <c r="I16" i="7"/>
  <c r="H17" i="7"/>
  <c r="I16" i="6"/>
  <c r="H17" i="6"/>
  <c r="I15" i="5"/>
  <c r="H16" i="5"/>
  <c r="I15" i="4"/>
  <c r="H16" i="4"/>
  <c r="I15" i="3"/>
  <c r="H16" i="3"/>
  <c r="H15" i="1"/>
  <c r="I14" i="1"/>
  <c r="I16" i="13" l="1"/>
  <c r="H17" i="13"/>
  <c r="I17" i="12"/>
  <c r="H18" i="12"/>
  <c r="I17" i="11"/>
  <c r="H18" i="11"/>
  <c r="I16" i="10"/>
  <c r="H17" i="10"/>
  <c r="I17" i="9"/>
  <c r="H18" i="9"/>
  <c r="I17" i="8"/>
  <c r="H18" i="8"/>
  <c r="I17" i="7"/>
  <c r="H18" i="7"/>
  <c r="I17" i="6"/>
  <c r="H18" i="6"/>
  <c r="I16" i="5"/>
  <c r="H17" i="5"/>
  <c r="I16" i="4"/>
  <c r="H17" i="4"/>
  <c r="H17" i="3"/>
  <c r="I16" i="3"/>
  <c r="H16" i="1"/>
  <c r="I15" i="1"/>
  <c r="I17" i="13" l="1"/>
  <c r="H18" i="13"/>
  <c r="I18" i="12"/>
  <c r="H19" i="12"/>
  <c r="I18" i="11"/>
  <c r="H19" i="11"/>
  <c r="I17" i="10"/>
  <c r="H18" i="10"/>
  <c r="I18" i="9"/>
  <c r="H19" i="9"/>
  <c r="I18" i="8"/>
  <c r="H19" i="8"/>
  <c r="I18" i="7"/>
  <c r="H19" i="7"/>
  <c r="I18" i="6"/>
  <c r="H19" i="6"/>
  <c r="I17" i="5"/>
  <c r="H18" i="5"/>
  <c r="I17" i="4"/>
  <c r="H18" i="4"/>
  <c r="H18" i="3"/>
  <c r="I17" i="3"/>
  <c r="H17" i="1"/>
  <c r="I16" i="1"/>
  <c r="I18" i="13" l="1"/>
  <c r="H19" i="13"/>
  <c r="H20" i="12"/>
  <c r="I19" i="12"/>
  <c r="I19" i="11"/>
  <c r="H20" i="11"/>
  <c r="I18" i="10"/>
  <c r="H19" i="10"/>
  <c r="H20" i="9"/>
  <c r="I19" i="9"/>
  <c r="I19" i="8"/>
  <c r="H20" i="8"/>
  <c r="I19" i="7"/>
  <c r="H20" i="7"/>
  <c r="H20" i="6"/>
  <c r="I19" i="6"/>
  <c r="I18" i="5"/>
  <c r="H19" i="5"/>
  <c r="I18" i="4"/>
  <c r="H19" i="4"/>
  <c r="I18" i="3"/>
  <c r="H19" i="3"/>
  <c r="H18" i="1"/>
  <c r="I17" i="1"/>
  <c r="I19" i="13" l="1"/>
  <c r="H20" i="13"/>
  <c r="H21" i="12"/>
  <c r="I20" i="12"/>
  <c r="H21" i="11"/>
  <c r="I20" i="11"/>
  <c r="I19" i="10"/>
  <c r="H20" i="10"/>
  <c r="H21" i="9"/>
  <c r="I20" i="9"/>
  <c r="H21" i="8"/>
  <c r="I20" i="8"/>
  <c r="H21" i="7"/>
  <c r="I20" i="7"/>
  <c r="H21" i="6"/>
  <c r="I20" i="6"/>
  <c r="H20" i="5"/>
  <c r="I19" i="5"/>
  <c r="I19" i="4"/>
  <c r="H20" i="4"/>
  <c r="I19" i="3"/>
  <c r="H20" i="3"/>
  <c r="H19" i="1"/>
  <c r="I18" i="1"/>
  <c r="H21" i="13" l="1"/>
  <c r="I20" i="13"/>
  <c r="I21" i="12"/>
  <c r="H22" i="12"/>
  <c r="I21" i="11"/>
  <c r="H22" i="11"/>
  <c r="H21" i="10"/>
  <c r="I20" i="10"/>
  <c r="I21" i="9"/>
  <c r="H22" i="9"/>
  <c r="I21" i="8"/>
  <c r="H22" i="8"/>
  <c r="I21" i="7"/>
  <c r="H22" i="7"/>
  <c r="I21" i="6"/>
  <c r="H22" i="6"/>
  <c r="H21" i="5"/>
  <c r="I20" i="5"/>
  <c r="H21" i="4"/>
  <c r="I20" i="4"/>
  <c r="H21" i="3"/>
  <c r="I20" i="3"/>
  <c r="H20" i="1"/>
  <c r="I19" i="1"/>
  <c r="I21" i="13" l="1"/>
  <c r="H22" i="13"/>
  <c r="I22" i="12"/>
  <c r="H23" i="12"/>
  <c r="I22" i="11"/>
  <c r="H23" i="11"/>
  <c r="I21" i="10"/>
  <c r="H22" i="10"/>
  <c r="I22" i="9"/>
  <c r="H23" i="9"/>
  <c r="I22" i="8"/>
  <c r="H23" i="8"/>
  <c r="I22" i="7"/>
  <c r="H23" i="7"/>
  <c r="I22" i="6"/>
  <c r="H23" i="6"/>
  <c r="I21" i="5"/>
  <c r="H22" i="5"/>
  <c r="I21" i="4"/>
  <c r="H22" i="4"/>
  <c r="I21" i="3"/>
  <c r="H22" i="3"/>
  <c r="H21" i="1"/>
  <c r="I20" i="1"/>
  <c r="I22" i="13" l="1"/>
  <c r="H23" i="13"/>
  <c r="I23" i="12"/>
  <c r="H24" i="12"/>
  <c r="I23" i="11"/>
  <c r="H24" i="11"/>
  <c r="I22" i="10"/>
  <c r="H23" i="10"/>
  <c r="I23" i="9"/>
  <c r="H24" i="9"/>
  <c r="I23" i="8"/>
  <c r="H24" i="8"/>
  <c r="I23" i="7"/>
  <c r="H24" i="7"/>
  <c r="I23" i="6"/>
  <c r="H24" i="6"/>
  <c r="I22" i="5"/>
  <c r="H23" i="5"/>
  <c r="I22" i="4"/>
  <c r="H23" i="4"/>
  <c r="I22" i="3"/>
  <c r="H23" i="3"/>
  <c r="H22" i="1"/>
  <c r="I21" i="1"/>
  <c r="I23" i="13" l="1"/>
  <c r="H24" i="13"/>
  <c r="I24" i="12"/>
  <c r="H25" i="12"/>
  <c r="I24" i="11"/>
  <c r="H25" i="11"/>
  <c r="I23" i="10"/>
  <c r="H24" i="10"/>
  <c r="I24" i="9"/>
  <c r="H25" i="9"/>
  <c r="I24" i="8"/>
  <c r="H25" i="8"/>
  <c r="I24" i="7"/>
  <c r="H25" i="7"/>
  <c r="I24" i="6"/>
  <c r="H25" i="6"/>
  <c r="I23" i="5"/>
  <c r="H24" i="5"/>
  <c r="I23" i="4"/>
  <c r="H24" i="4"/>
  <c r="I23" i="3"/>
  <c r="H24" i="3"/>
  <c r="H23" i="1"/>
  <c r="I22" i="1"/>
  <c r="I24" i="13" l="1"/>
  <c r="H25" i="13"/>
  <c r="I25" i="12"/>
  <c r="H26" i="12"/>
  <c r="I25" i="11"/>
  <c r="H26" i="11"/>
  <c r="I24" i="10"/>
  <c r="H25" i="10"/>
  <c r="I25" i="9"/>
  <c r="H26" i="9"/>
  <c r="I25" i="8"/>
  <c r="H26" i="8"/>
  <c r="I25" i="7"/>
  <c r="H26" i="7"/>
  <c r="I25" i="6"/>
  <c r="H26" i="6"/>
  <c r="I24" i="5"/>
  <c r="H25" i="5"/>
  <c r="I24" i="4"/>
  <c r="H25" i="4"/>
  <c r="H25" i="3"/>
  <c r="I24" i="3"/>
  <c r="H24" i="1"/>
  <c r="I23" i="1"/>
  <c r="I25" i="13" l="1"/>
  <c r="H26" i="13"/>
  <c r="I26" i="12"/>
  <c r="H27" i="12"/>
  <c r="H27" i="11"/>
  <c r="I26" i="11"/>
  <c r="I25" i="10"/>
  <c r="H26" i="10"/>
  <c r="I26" i="9"/>
  <c r="H27" i="9"/>
  <c r="I26" i="8"/>
  <c r="H27" i="8"/>
  <c r="I26" i="7"/>
  <c r="H27" i="7"/>
  <c r="I26" i="6"/>
  <c r="H27" i="6"/>
  <c r="I25" i="5"/>
  <c r="H26" i="5"/>
  <c r="I25" i="4"/>
  <c r="H26" i="4"/>
  <c r="I25" i="3"/>
  <c r="H26" i="3"/>
  <c r="H25" i="1"/>
  <c r="I24" i="1"/>
  <c r="I26" i="13" l="1"/>
  <c r="H27" i="13"/>
  <c r="I27" i="12"/>
  <c r="H28" i="12"/>
  <c r="I27" i="11"/>
  <c r="H28" i="11"/>
  <c r="H27" i="10"/>
  <c r="I26" i="10"/>
  <c r="I27" i="9"/>
  <c r="H28" i="9"/>
  <c r="I27" i="8"/>
  <c r="H28" i="8"/>
  <c r="I27" i="7"/>
  <c r="H28" i="7"/>
  <c r="I27" i="6"/>
  <c r="H28" i="6"/>
  <c r="I26" i="5"/>
  <c r="H27" i="5"/>
  <c r="I26" i="4"/>
  <c r="H27" i="4"/>
  <c r="I26" i="3"/>
  <c r="H27" i="3"/>
  <c r="H26" i="1"/>
  <c r="I25" i="1"/>
  <c r="I27" i="13" l="1"/>
  <c r="H28" i="13"/>
  <c r="H29" i="12"/>
  <c r="I28" i="12"/>
  <c r="H29" i="11"/>
  <c r="I28" i="11"/>
  <c r="I27" i="10"/>
  <c r="H28" i="10"/>
  <c r="H29" i="9"/>
  <c r="I28" i="9"/>
  <c r="H29" i="8"/>
  <c r="I28" i="8"/>
  <c r="H29" i="7"/>
  <c r="I28" i="7"/>
  <c r="H29" i="6"/>
  <c r="I28" i="6"/>
  <c r="I27" i="5"/>
  <c r="H28" i="5"/>
  <c r="I27" i="4"/>
  <c r="H28" i="4"/>
  <c r="I27" i="3"/>
  <c r="H28" i="3"/>
  <c r="H27" i="1"/>
  <c r="I26" i="1"/>
  <c r="H29" i="13" l="1"/>
  <c r="I28" i="13"/>
  <c r="H30" i="12"/>
  <c r="I29" i="12"/>
  <c r="H30" i="11"/>
  <c r="I29" i="11"/>
  <c r="H29" i="10"/>
  <c r="I28" i="10"/>
  <c r="H30" i="9"/>
  <c r="I29" i="9"/>
  <c r="H30" i="8"/>
  <c r="I29" i="8"/>
  <c r="H30" i="7"/>
  <c r="I29" i="7"/>
  <c r="I29" i="6"/>
  <c r="H30" i="6"/>
  <c r="H29" i="5"/>
  <c r="I28" i="5"/>
  <c r="H29" i="4"/>
  <c r="I28" i="4"/>
  <c r="H29" i="3"/>
  <c r="I28" i="3"/>
  <c r="H28" i="1"/>
  <c r="I27" i="1"/>
  <c r="H30" i="13" l="1"/>
  <c r="I29" i="13"/>
  <c r="I30" i="12"/>
  <c r="H31" i="12"/>
  <c r="I30" i="11"/>
  <c r="H31" i="11"/>
  <c r="H30" i="10"/>
  <c r="I29" i="10"/>
  <c r="I30" i="9"/>
  <c r="H31" i="9"/>
  <c r="I30" i="8"/>
  <c r="H31" i="8"/>
  <c r="I30" i="7"/>
  <c r="H31" i="7"/>
  <c r="I30" i="6"/>
  <c r="H31" i="6"/>
  <c r="H30" i="5"/>
  <c r="I29" i="5"/>
  <c r="H30" i="4"/>
  <c r="I29" i="4"/>
  <c r="H30" i="3"/>
  <c r="I29" i="3"/>
  <c r="H29" i="1"/>
  <c r="I28" i="1"/>
  <c r="I30" i="13" l="1"/>
  <c r="H31" i="13"/>
  <c r="I31" i="12"/>
  <c r="H32" i="12"/>
  <c r="I31" i="11"/>
  <c r="H32" i="11"/>
  <c r="I30" i="10"/>
  <c r="H31" i="10"/>
  <c r="I31" i="9"/>
  <c r="H32" i="9"/>
  <c r="I31" i="8"/>
  <c r="H32" i="8"/>
  <c r="I31" i="7"/>
  <c r="H32" i="7"/>
  <c r="I31" i="6"/>
  <c r="H32" i="6"/>
  <c r="I30" i="5"/>
  <c r="H31" i="5"/>
  <c r="I30" i="4"/>
  <c r="H31" i="4"/>
  <c r="I30" i="3"/>
  <c r="H31" i="3"/>
  <c r="H30" i="1"/>
  <c r="I29" i="1"/>
  <c r="I31" i="13" l="1"/>
  <c r="H32" i="13"/>
  <c r="I32" i="12"/>
  <c r="H33" i="12"/>
  <c r="I32" i="11"/>
  <c r="H33" i="11"/>
  <c r="I31" i="10"/>
  <c r="H32" i="10"/>
  <c r="I32" i="9"/>
  <c r="H33" i="9"/>
  <c r="I32" i="8"/>
  <c r="H33" i="8"/>
  <c r="I32" i="7"/>
  <c r="H33" i="7"/>
  <c r="I32" i="6"/>
  <c r="H33" i="6"/>
  <c r="I31" i="5"/>
  <c r="H32" i="5"/>
  <c r="I31" i="4"/>
  <c r="H32" i="4"/>
  <c r="I31" i="3"/>
  <c r="H32" i="3"/>
  <c r="H31" i="1"/>
  <c r="I30" i="1"/>
  <c r="I32" i="13" l="1"/>
  <c r="H33" i="13"/>
  <c r="I33" i="12"/>
  <c r="H34" i="12"/>
  <c r="I33" i="11"/>
  <c r="H34" i="11"/>
  <c r="I32" i="10"/>
  <c r="H33" i="10"/>
  <c r="I33" i="9"/>
  <c r="H34" i="9"/>
  <c r="I33" i="8"/>
  <c r="H34" i="8"/>
  <c r="I33" i="7"/>
  <c r="H34" i="7"/>
  <c r="I33" i="6"/>
  <c r="H34" i="6"/>
  <c r="I32" i="5"/>
  <c r="H33" i="5"/>
  <c r="I32" i="4"/>
  <c r="H33" i="4"/>
  <c r="H33" i="3"/>
  <c r="I32" i="3"/>
  <c r="H32" i="1"/>
  <c r="I31" i="1"/>
  <c r="I33" i="13" l="1"/>
  <c r="H34" i="13"/>
  <c r="I34" i="12"/>
  <c r="D11" i="12"/>
  <c r="I34" i="11"/>
  <c r="D11" i="11"/>
  <c r="I33" i="10"/>
  <c r="H34" i="10"/>
  <c r="I34" i="9"/>
  <c r="D11" i="9"/>
  <c r="I34" i="8"/>
  <c r="D11" i="8"/>
  <c r="I34" i="7"/>
  <c r="D11" i="7"/>
  <c r="I34" i="6"/>
  <c r="D11" i="6"/>
  <c r="I33" i="5"/>
  <c r="H34" i="5"/>
  <c r="I33" i="4"/>
  <c r="H34" i="4"/>
  <c r="H34" i="3"/>
  <c r="I33" i="3"/>
  <c r="H33" i="1"/>
  <c r="I32" i="1"/>
  <c r="I34" i="13" l="1"/>
  <c r="D11" i="13"/>
  <c r="D13" i="12"/>
  <c r="D14" i="12"/>
  <c r="D13" i="11"/>
  <c r="D14" i="11"/>
  <c r="I34" i="10"/>
  <c r="D11" i="10"/>
  <c r="D14" i="9"/>
  <c r="D13" i="9"/>
  <c r="D13" i="8"/>
  <c r="D14" i="8"/>
  <c r="D13" i="7"/>
  <c r="D14" i="7"/>
  <c r="D13" i="6"/>
  <c r="D14" i="6"/>
  <c r="I34" i="5"/>
  <c r="D11" i="5"/>
  <c r="I34" i="4"/>
  <c r="D11" i="4"/>
  <c r="I34" i="3"/>
  <c r="D11" i="3"/>
  <c r="H34" i="1"/>
  <c r="I33" i="1"/>
  <c r="D13" i="13" l="1"/>
  <c r="D14" i="13"/>
  <c r="D13" i="10"/>
  <c r="D14" i="10"/>
  <c r="D13" i="5"/>
  <c r="D14" i="5"/>
  <c r="D13" i="4"/>
  <c r="D14" i="4"/>
  <c r="D13" i="3"/>
  <c r="D14" i="3"/>
  <c r="I34" i="1"/>
  <c r="D11" i="1"/>
  <c r="D14" i="1" l="1"/>
  <c r="D13" i="1"/>
</calcChain>
</file>

<file path=xl/sharedStrings.xml><?xml version="1.0" encoding="utf-8"?>
<sst xmlns="http://schemas.openxmlformats.org/spreadsheetml/2006/main" count="532" uniqueCount="50">
  <si>
    <t>S.no</t>
  </si>
  <si>
    <t xml:space="preserve">Date </t>
  </si>
  <si>
    <t>Day</t>
  </si>
  <si>
    <t>Dine In sales</t>
  </si>
  <si>
    <t>Dine In Tickets</t>
  </si>
  <si>
    <t>APC / APT</t>
  </si>
  <si>
    <t>Take Away sales</t>
  </si>
  <si>
    <t>Take Away Tickets</t>
  </si>
  <si>
    <t>Delivery sales</t>
  </si>
  <si>
    <t>Delivery Tickets</t>
  </si>
  <si>
    <t>Month</t>
  </si>
  <si>
    <t>Year</t>
  </si>
  <si>
    <t>Start Date</t>
  </si>
  <si>
    <t>End Date</t>
  </si>
  <si>
    <t>Total Days</t>
  </si>
  <si>
    <t>Total Saturday</t>
  </si>
  <si>
    <t>Total Sunday</t>
  </si>
  <si>
    <t>Highest sales for the day</t>
  </si>
  <si>
    <t>Lowest sales for the day</t>
  </si>
  <si>
    <t>Target Achieved</t>
  </si>
  <si>
    <t>Sales till date</t>
  </si>
  <si>
    <t>Average sales</t>
  </si>
  <si>
    <t>Dine in sales</t>
  </si>
  <si>
    <t>Take away sales</t>
  </si>
  <si>
    <t>Total sales</t>
  </si>
  <si>
    <t>last year sales</t>
  </si>
  <si>
    <t>Growth</t>
  </si>
  <si>
    <t>February</t>
  </si>
  <si>
    <t>January</t>
  </si>
  <si>
    <t>DASHBOARD</t>
  </si>
  <si>
    <t xml:space="preserve">Daily Sales Report (Dine in, Take Away, Delivery) </t>
  </si>
  <si>
    <t>Target Sales</t>
  </si>
  <si>
    <t xml:space="preserve">Total Sales </t>
  </si>
  <si>
    <t>Total Ticket</t>
  </si>
  <si>
    <t>Target vs Achieved</t>
  </si>
  <si>
    <t xml:space="preserve">% </t>
  </si>
  <si>
    <t>Consolidated</t>
  </si>
  <si>
    <t>July</t>
  </si>
  <si>
    <t>June</t>
  </si>
  <si>
    <t>March</t>
  </si>
  <si>
    <t>April</t>
  </si>
  <si>
    <t>May</t>
  </si>
  <si>
    <t>Totals</t>
  </si>
  <si>
    <t>Months</t>
  </si>
  <si>
    <t>December</t>
  </si>
  <si>
    <t>November</t>
  </si>
  <si>
    <t>October</t>
  </si>
  <si>
    <t>September</t>
  </si>
  <si>
    <t>August</t>
  </si>
  <si>
    <t xml:space="preserve">Consloidated Sales Report (Dine in, Take Away, Delivery)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</si>
</sst>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;@"/>
  </numFmts>
  <fonts count="16" x14ac:knownFonts="1">
    <font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b/>
      <sz val="28"/>
      <color theme="1" tint="4.9989318521683403E-2"/>
      <name val="Times New Roman"/>
      <family val="1"/>
    </font>
    <font>
      <strike/>
      <sz val="12"/>
      <color theme="1"/>
      <name val="Times New Roman"/>
      <family val="2"/>
    </font>
    <font>
      <sz val="24"/>
      <color theme="1"/>
      <name val="Times New Roman"/>
      <family val="1"/>
    </font>
    <font>
      <b/>
      <sz val="26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2"/>
      <color rgb="FFFF0000"/>
      <name val="Times New Roman"/>
      <family val="1"/>
    </font>
    <font>
      <sz val="18"/>
      <color theme="1"/>
      <name val="Times New Roman"/>
      <family val="2"/>
    </font>
    <font>
      <b/>
      <sz val="20"/>
      <color rgb="FFFF0000"/>
      <name val="Times New Roman"/>
      <family val="1"/>
    </font>
    <font>
      <b/>
      <sz val="22"/>
      <color rgb="FFFF0000"/>
      <name val="Times New Roman"/>
      <family val="1"/>
    </font>
    <font>
      <sz val="20"/>
      <color theme="1"/>
      <name val="Times New Roman"/>
      <family val="1"/>
    </font>
    <font>
      <b/>
      <sz val="18"/>
      <color rgb="FFFF0000"/>
      <name val="Times New Roman"/>
      <family val="1"/>
    </font>
    <font>
      <sz val="18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3" fillId="2" borderId="0" xfId="0" applyFont="1" applyFill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1" fontId="9" fillId="9" borderId="10" xfId="0" applyNumberFormat="1" applyFont="1" applyFill="1" applyBorder="1" applyAlignment="1">
      <alignment horizontal="center" vertical="center"/>
    </xf>
    <xf numFmtId="9" fontId="9" fillId="9" borderId="1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1" fontId="9" fillId="9" borderId="18" xfId="0" applyNumberFormat="1" applyFont="1" applyFill="1" applyBorder="1" applyAlignment="1">
      <alignment horizontal="center" vertical="center"/>
    </xf>
    <xf numFmtId="9" fontId="9" fillId="9" borderId="18" xfId="0" applyNumberFormat="1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10" fillId="7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1" fontId="14" fillId="13" borderId="10" xfId="0" applyNumberFormat="1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5" fillId="0" borderId="10" xfId="0" applyFont="1" applyBorder="1"/>
  </cellXfs>
  <cellStyles count="1">
    <cellStyle name="Normal" xfId="0" builtinId="0"/>
  </cellStyles>
  <dxfs count="7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hyperlink" Target="#Consolidated!A1"/><Relationship Id="rId3" Type="http://schemas.openxmlformats.org/officeDocument/2006/relationships/hyperlink" Target="#MAR!A1"/><Relationship Id="rId7" Type="http://schemas.openxmlformats.org/officeDocument/2006/relationships/hyperlink" Target="#JULY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E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0</xdr:rowOff>
    </xdr:from>
    <xdr:to>
      <xdr:col>1</xdr:col>
      <xdr:colOff>1729740</xdr:colOff>
      <xdr:row>3</xdr:row>
      <xdr:rowOff>129540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A30ADC-985E-AC4D-8B99-39BE5627E678}"/>
            </a:ext>
          </a:extLst>
        </xdr:cNvPr>
        <xdr:cNvSpPr/>
      </xdr:nvSpPr>
      <xdr:spPr>
        <a:xfrm>
          <a:off x="746760" y="60960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JANUARY</a:t>
          </a:r>
        </a:p>
      </xdr:txBody>
    </xdr:sp>
    <xdr:clientData/>
  </xdr:twoCellAnchor>
  <xdr:twoCellAnchor>
    <xdr:from>
      <xdr:col>1</xdr:col>
      <xdr:colOff>76200</xdr:colOff>
      <xdr:row>4</xdr:row>
      <xdr:rowOff>65532</xdr:rowOff>
    </xdr:from>
    <xdr:to>
      <xdr:col>1</xdr:col>
      <xdr:colOff>1729740</xdr:colOff>
      <xdr:row>5</xdr:row>
      <xdr:rowOff>195072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5ED119-A3AC-4F7E-ACA1-BAF0B31BE699}"/>
            </a:ext>
          </a:extLst>
        </xdr:cNvPr>
        <xdr:cNvSpPr/>
      </xdr:nvSpPr>
      <xdr:spPr>
        <a:xfrm>
          <a:off x="746760" y="1071372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FEBRUARY</a:t>
          </a:r>
        </a:p>
      </xdr:txBody>
    </xdr:sp>
    <xdr:clientData/>
  </xdr:twoCellAnchor>
  <xdr:twoCellAnchor>
    <xdr:from>
      <xdr:col>1</xdr:col>
      <xdr:colOff>76200</xdr:colOff>
      <xdr:row>6</xdr:row>
      <xdr:rowOff>131064</xdr:rowOff>
    </xdr:from>
    <xdr:to>
      <xdr:col>1</xdr:col>
      <xdr:colOff>1729740</xdr:colOff>
      <xdr:row>8</xdr:row>
      <xdr:rowOff>62484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0234E0-5408-41C0-9CDE-66DD9E09403B}"/>
            </a:ext>
          </a:extLst>
        </xdr:cNvPr>
        <xdr:cNvSpPr/>
      </xdr:nvSpPr>
      <xdr:spPr>
        <a:xfrm>
          <a:off x="746760" y="1533144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MARCH</a:t>
          </a:r>
        </a:p>
      </xdr:txBody>
    </xdr:sp>
    <xdr:clientData/>
  </xdr:twoCellAnchor>
  <xdr:twoCellAnchor>
    <xdr:from>
      <xdr:col>1</xdr:col>
      <xdr:colOff>76200</xdr:colOff>
      <xdr:row>8</xdr:row>
      <xdr:rowOff>196596</xdr:rowOff>
    </xdr:from>
    <xdr:to>
      <xdr:col>1</xdr:col>
      <xdr:colOff>1729740</xdr:colOff>
      <xdr:row>10</xdr:row>
      <xdr:rowOff>128016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82E06F-56B3-4B4E-A443-B03A2A2805F0}"/>
            </a:ext>
          </a:extLst>
        </xdr:cNvPr>
        <xdr:cNvSpPr/>
      </xdr:nvSpPr>
      <xdr:spPr>
        <a:xfrm>
          <a:off x="746760" y="1994916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APRIL</a:t>
          </a:r>
        </a:p>
      </xdr:txBody>
    </xdr:sp>
    <xdr:clientData/>
  </xdr:twoCellAnchor>
  <xdr:twoCellAnchor>
    <xdr:from>
      <xdr:col>1</xdr:col>
      <xdr:colOff>76200</xdr:colOff>
      <xdr:row>11</xdr:row>
      <xdr:rowOff>64008</xdr:rowOff>
    </xdr:from>
    <xdr:to>
      <xdr:col>1</xdr:col>
      <xdr:colOff>1729740</xdr:colOff>
      <xdr:row>12</xdr:row>
      <xdr:rowOff>193548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F38A32-9CAB-4BEA-8B17-A07C399201CF}"/>
            </a:ext>
          </a:extLst>
        </xdr:cNvPr>
        <xdr:cNvSpPr/>
      </xdr:nvSpPr>
      <xdr:spPr>
        <a:xfrm>
          <a:off x="746760" y="2456688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MAY</a:t>
          </a:r>
        </a:p>
      </xdr:txBody>
    </xdr:sp>
    <xdr:clientData/>
  </xdr:twoCellAnchor>
  <xdr:twoCellAnchor>
    <xdr:from>
      <xdr:col>1</xdr:col>
      <xdr:colOff>76200</xdr:colOff>
      <xdr:row>13</xdr:row>
      <xdr:rowOff>129540</xdr:rowOff>
    </xdr:from>
    <xdr:to>
      <xdr:col>1</xdr:col>
      <xdr:colOff>1729740</xdr:colOff>
      <xdr:row>15</xdr:row>
      <xdr:rowOff>60960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77E16C-5869-409E-B360-BD7CB29D8F60}"/>
            </a:ext>
          </a:extLst>
        </xdr:cNvPr>
        <xdr:cNvSpPr/>
      </xdr:nvSpPr>
      <xdr:spPr>
        <a:xfrm>
          <a:off x="746760" y="291846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JUNE</a:t>
          </a:r>
        </a:p>
      </xdr:txBody>
    </xdr:sp>
    <xdr:clientData/>
  </xdr:twoCellAnchor>
  <xdr:twoCellAnchor>
    <xdr:from>
      <xdr:col>3</xdr:col>
      <xdr:colOff>87630</xdr:colOff>
      <xdr:row>2</xdr:row>
      <xdr:rowOff>60960</xdr:rowOff>
    </xdr:from>
    <xdr:to>
      <xdr:col>3</xdr:col>
      <xdr:colOff>1741170</xdr:colOff>
      <xdr:row>3</xdr:row>
      <xdr:rowOff>190500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BDA7B3-30F2-4574-BD5D-6E7569E189EF}"/>
            </a:ext>
          </a:extLst>
        </xdr:cNvPr>
        <xdr:cNvSpPr/>
      </xdr:nvSpPr>
      <xdr:spPr>
        <a:xfrm>
          <a:off x="2830830" y="67056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JULY</a:t>
          </a:r>
        </a:p>
      </xdr:txBody>
    </xdr:sp>
    <xdr:clientData/>
  </xdr:twoCellAnchor>
  <xdr:twoCellAnchor>
    <xdr:from>
      <xdr:col>3</xdr:col>
      <xdr:colOff>87630</xdr:colOff>
      <xdr:row>4</xdr:row>
      <xdr:rowOff>129540</xdr:rowOff>
    </xdr:from>
    <xdr:to>
      <xdr:col>3</xdr:col>
      <xdr:colOff>1741170</xdr:colOff>
      <xdr:row>6</xdr:row>
      <xdr:rowOff>60960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91E635-A7C1-4B85-B47F-15B181BE8E12}"/>
            </a:ext>
          </a:extLst>
        </xdr:cNvPr>
        <xdr:cNvSpPr/>
      </xdr:nvSpPr>
      <xdr:spPr>
        <a:xfrm>
          <a:off x="2830830" y="113538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AUGUST</a:t>
          </a:r>
        </a:p>
      </xdr:txBody>
    </xdr:sp>
    <xdr:clientData/>
  </xdr:twoCellAnchor>
  <xdr:twoCellAnchor>
    <xdr:from>
      <xdr:col>3</xdr:col>
      <xdr:colOff>87630</xdr:colOff>
      <xdr:row>7</xdr:row>
      <xdr:rowOff>0</xdr:rowOff>
    </xdr:from>
    <xdr:to>
      <xdr:col>3</xdr:col>
      <xdr:colOff>1741170</xdr:colOff>
      <xdr:row>8</xdr:row>
      <xdr:rowOff>129540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59FDCD-D098-4C40-B124-14DC60B6AB50}"/>
            </a:ext>
          </a:extLst>
        </xdr:cNvPr>
        <xdr:cNvSpPr/>
      </xdr:nvSpPr>
      <xdr:spPr>
        <a:xfrm>
          <a:off x="2830830" y="160020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SEPTEMBER</a:t>
          </a:r>
        </a:p>
      </xdr:txBody>
    </xdr:sp>
    <xdr:clientData/>
  </xdr:twoCellAnchor>
  <xdr:twoCellAnchor>
    <xdr:from>
      <xdr:col>3</xdr:col>
      <xdr:colOff>87630</xdr:colOff>
      <xdr:row>9</xdr:row>
      <xdr:rowOff>68580</xdr:rowOff>
    </xdr:from>
    <xdr:to>
      <xdr:col>3</xdr:col>
      <xdr:colOff>1741170</xdr:colOff>
      <xdr:row>11</xdr:row>
      <xdr:rowOff>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8B26E1-8187-42B4-85A6-71B3D51E9C5E}"/>
            </a:ext>
          </a:extLst>
        </xdr:cNvPr>
        <xdr:cNvSpPr/>
      </xdr:nvSpPr>
      <xdr:spPr>
        <a:xfrm>
          <a:off x="2830830" y="206502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OCTOBER</a:t>
          </a:r>
        </a:p>
      </xdr:txBody>
    </xdr:sp>
    <xdr:clientData/>
  </xdr:twoCellAnchor>
  <xdr:twoCellAnchor>
    <xdr:from>
      <xdr:col>3</xdr:col>
      <xdr:colOff>87630</xdr:colOff>
      <xdr:row>11</xdr:row>
      <xdr:rowOff>137160</xdr:rowOff>
    </xdr:from>
    <xdr:to>
      <xdr:col>3</xdr:col>
      <xdr:colOff>1741170</xdr:colOff>
      <xdr:row>13</xdr:row>
      <xdr:rowOff>68580</xdr:rowOff>
    </xdr:to>
    <xdr:sp macro="" textlink="">
      <xdr:nvSpPr>
        <xdr:cNvPr id="12" name="Rectangl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E397114-8A47-478B-A5D3-7F3AA16552B9}"/>
            </a:ext>
          </a:extLst>
        </xdr:cNvPr>
        <xdr:cNvSpPr/>
      </xdr:nvSpPr>
      <xdr:spPr>
        <a:xfrm>
          <a:off x="2830830" y="252984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NOVEMBER</a:t>
          </a:r>
        </a:p>
      </xdr:txBody>
    </xdr:sp>
    <xdr:clientData/>
  </xdr:twoCellAnchor>
  <xdr:twoCellAnchor>
    <xdr:from>
      <xdr:col>3</xdr:col>
      <xdr:colOff>87630</xdr:colOff>
      <xdr:row>14</xdr:row>
      <xdr:rowOff>7620</xdr:rowOff>
    </xdr:from>
    <xdr:to>
      <xdr:col>3</xdr:col>
      <xdr:colOff>1741170</xdr:colOff>
      <xdr:row>15</xdr:row>
      <xdr:rowOff>137160</xdr:rowOff>
    </xdr:to>
    <xdr:sp macro="" textlink="">
      <xdr:nvSpPr>
        <xdr:cNvPr id="13" name="Rectangl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064A76E-4E71-41D8-9838-D9D06163A297}"/>
            </a:ext>
          </a:extLst>
        </xdr:cNvPr>
        <xdr:cNvSpPr/>
      </xdr:nvSpPr>
      <xdr:spPr>
        <a:xfrm>
          <a:off x="2830830" y="2994660"/>
          <a:ext cx="1653540" cy="3276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DECEMBER</a:t>
          </a:r>
        </a:p>
      </xdr:txBody>
    </xdr:sp>
    <xdr:clientData/>
  </xdr:twoCellAnchor>
  <xdr:twoCellAnchor>
    <xdr:from>
      <xdr:col>3</xdr:col>
      <xdr:colOff>80010</xdr:colOff>
      <xdr:row>16</xdr:row>
      <xdr:rowOff>60960</xdr:rowOff>
    </xdr:from>
    <xdr:to>
      <xdr:col>3</xdr:col>
      <xdr:colOff>1733550</xdr:colOff>
      <xdr:row>17</xdr:row>
      <xdr:rowOff>190500</xdr:rowOff>
    </xdr:to>
    <xdr:sp macro="" textlink="">
      <xdr:nvSpPr>
        <xdr:cNvPr id="15" name="Rectangl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FEDCF7C-EE16-48FF-889D-7E9DE9467623}"/>
            </a:ext>
          </a:extLst>
        </xdr:cNvPr>
        <xdr:cNvSpPr/>
      </xdr:nvSpPr>
      <xdr:spPr>
        <a:xfrm>
          <a:off x="2823210" y="3444240"/>
          <a:ext cx="1653540" cy="327660"/>
        </a:xfrm>
        <a:prstGeom prst="rect">
          <a:avLst/>
        </a:prstGeom>
        <a:solidFill>
          <a:srgbClr val="FF00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rgbClr val="FFFF00"/>
              </a:solidFill>
            </a:rPr>
            <a:t>CONSOLIDATE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E03C8-6E74-C44F-BB41-542AFD83E974}"/>
            </a:ext>
          </a:extLst>
        </xdr:cNvPr>
        <xdr:cNvSpPr txBox="1"/>
      </xdr:nvSpPr>
      <xdr:spPr>
        <a:xfrm>
          <a:off x="478971" y="217714"/>
          <a:ext cx="1741715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3C480-D539-440B-8F97-E18B2A129913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8B411-F576-4113-9AAD-136347DD1079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A5B42C-F5DC-45E6-A491-F72D2B32988D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ED5F34-CEC1-4C75-84AC-16DDE2828166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5DCA6-10AB-4A4A-BA45-963E0E5257BF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CB537-B227-41EF-A647-821FFD0EB69C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9D2AF-E27A-4B49-9395-E3C8AC27C791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2C1AFB-E217-4236-8433-4F2C765F947B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085ED-62B0-4CCC-B1F8-00ADCA0F8E23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D369C4-ECF6-4268-BCDB-5E3BCC0F65A2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8A602-3D12-411D-87F8-7080BA7022FE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206828</xdr:colOff>
      <xdr:row>1</xdr:row>
      <xdr:rowOff>10885</xdr:rowOff>
    </xdr:from>
    <xdr:to>
      <xdr:col>2</xdr:col>
      <xdr:colOff>1730829</xdr:colOff>
      <xdr:row>1</xdr:row>
      <xdr:rowOff>489857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FEBAE7-30DE-4F4C-BD8C-FCEAC35C82D8}"/>
            </a:ext>
          </a:extLst>
        </xdr:cNvPr>
        <xdr:cNvSpPr txBox="1"/>
      </xdr:nvSpPr>
      <xdr:spPr>
        <a:xfrm>
          <a:off x="473528" y="148045"/>
          <a:ext cx="1744981" cy="47897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rgbClr val="FF0000"/>
              </a:solidFill>
              <a:latin typeface="Bell MT" panose="02020503060305020303" pitchFamily="18" charset="0"/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E4FA-DF84-4D98-B014-DF54E0CA0248}">
  <dimension ref="B2:D18"/>
  <sheetViews>
    <sheetView workbookViewId="0"/>
  </sheetViews>
  <sheetFormatPr defaultRowHeight="15.6" x14ac:dyDescent="0.3"/>
  <cols>
    <col min="2" max="2" width="23.8984375" customWidth="1"/>
    <col min="3" max="3" width="3.296875" customWidth="1"/>
    <col min="4" max="4" width="23.796875" customWidth="1"/>
  </cols>
  <sheetData>
    <row r="2" spans="2:4" ht="32.4" customHeight="1" x14ac:dyDescent="0.3">
      <c r="B2" s="41" t="s">
        <v>43</v>
      </c>
      <c r="D2" s="41" t="s">
        <v>43</v>
      </c>
    </row>
    <row r="3" spans="2:4" x14ac:dyDescent="0.3">
      <c r="B3" s="40"/>
      <c r="D3" s="40"/>
    </row>
    <row r="4" spans="2:4" x14ac:dyDescent="0.3">
      <c r="B4" s="40"/>
      <c r="D4" s="40"/>
    </row>
    <row r="5" spans="2:4" x14ac:dyDescent="0.3">
      <c r="B5" s="40"/>
      <c r="D5" s="40"/>
    </row>
    <row r="6" spans="2:4" x14ac:dyDescent="0.3">
      <c r="B6" s="40"/>
      <c r="D6" s="40"/>
    </row>
    <row r="7" spans="2:4" x14ac:dyDescent="0.3">
      <c r="B7" s="40"/>
      <c r="D7" s="40"/>
    </row>
    <row r="8" spans="2:4" x14ac:dyDescent="0.3">
      <c r="B8" s="40"/>
      <c r="D8" s="40"/>
    </row>
    <row r="9" spans="2:4" x14ac:dyDescent="0.3">
      <c r="B9" s="40"/>
      <c r="D9" s="40"/>
    </row>
    <row r="10" spans="2:4" x14ac:dyDescent="0.3">
      <c r="B10" s="40"/>
      <c r="D10" s="40"/>
    </row>
    <row r="11" spans="2:4" x14ac:dyDescent="0.3">
      <c r="B11" s="40"/>
      <c r="D11" s="40"/>
    </row>
    <row r="12" spans="2:4" x14ac:dyDescent="0.3">
      <c r="B12" s="40"/>
      <c r="D12" s="40"/>
    </row>
    <row r="13" spans="2:4" x14ac:dyDescent="0.3">
      <c r="B13" s="40"/>
      <c r="D13" s="40"/>
    </row>
    <row r="14" spans="2:4" x14ac:dyDescent="0.3">
      <c r="B14" s="40"/>
      <c r="D14" s="40"/>
    </row>
    <row r="15" spans="2:4" x14ac:dyDescent="0.3">
      <c r="B15" s="40"/>
      <c r="D15" s="40"/>
    </row>
    <row r="16" spans="2:4" x14ac:dyDescent="0.3">
      <c r="B16" s="40"/>
      <c r="D16" s="40"/>
    </row>
    <row r="17" spans="2:4" x14ac:dyDescent="0.3">
      <c r="B17" s="40"/>
      <c r="D17" s="40"/>
    </row>
    <row r="18" spans="2:4" ht="25.2" customHeight="1" x14ac:dyDescent="0.3">
      <c r="D18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312A-FAD3-4C8E-8DB4-E99B041E56B7}">
  <dimension ref="B1:X35"/>
  <sheetViews>
    <sheetView showGridLines="0" zoomScale="70" zoomScaleNormal="70" workbookViewId="0"/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28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45658</v>
      </c>
      <c r="I4" s="12" t="str">
        <f>TEXT(H4,"DDD")</f>
        <v>Wed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45659</v>
      </c>
      <c r="I5" s="12" t="str">
        <f t="shared" ref="I5:I33" si="0">TEXT(H5,"DDD")</f>
        <v>Thu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45660</v>
      </c>
      <c r="I6" s="12" t="str">
        <f t="shared" si="0"/>
        <v>Fri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45658</v>
      </c>
      <c r="E7" s="6"/>
      <c r="G7" s="12">
        <v>4</v>
      </c>
      <c r="H7" s="22">
        <f t="shared" si="9"/>
        <v>45661</v>
      </c>
      <c r="I7" s="12" t="str">
        <f t="shared" si="0"/>
        <v>Sat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45662</v>
      </c>
      <c r="I8" s="12" t="str">
        <f t="shared" si="0"/>
        <v>Sun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45688</v>
      </c>
      <c r="E9" s="6"/>
      <c r="G9" s="12">
        <v>6</v>
      </c>
      <c r="H9" s="22">
        <f t="shared" si="9"/>
        <v>45663</v>
      </c>
      <c r="I9" s="12" t="str">
        <f t="shared" si="0"/>
        <v>Mon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45664</v>
      </c>
      <c r="I10" s="12" t="str">
        <f t="shared" si="0"/>
        <v>Tue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45665</v>
      </c>
      <c r="I11" s="12" t="str">
        <f t="shared" si="0"/>
        <v>Wed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45666</v>
      </c>
      <c r="I12" s="12" t="str">
        <f t="shared" si="0"/>
        <v>Thu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45667</v>
      </c>
      <c r="I13" s="12" t="str">
        <f t="shared" si="0"/>
        <v>Fri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45668</v>
      </c>
      <c r="I14" s="12" t="str">
        <f t="shared" si="0"/>
        <v>Sat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45669</v>
      </c>
      <c r="I15" s="12" t="str">
        <f t="shared" si="0"/>
        <v>Sun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45670</v>
      </c>
      <c r="I16" s="12" t="str">
        <f t="shared" si="0"/>
        <v>Mon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45671</v>
      </c>
      <c r="I17" s="12" t="str">
        <f t="shared" si="0"/>
        <v>Tue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45672</v>
      </c>
      <c r="I18" s="12" t="str">
        <f t="shared" si="0"/>
        <v>Wed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45673</v>
      </c>
      <c r="I19" s="12" t="str">
        <f t="shared" si="0"/>
        <v>Thu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45674</v>
      </c>
      <c r="I20" s="12" t="str">
        <f t="shared" si="0"/>
        <v>Fri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45675</v>
      </c>
      <c r="I21" s="12" t="str">
        <f t="shared" si="0"/>
        <v>Sat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45676</v>
      </c>
      <c r="I22" s="12" t="str">
        <f t="shared" si="0"/>
        <v>Sun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45677</v>
      </c>
      <c r="I23" s="12" t="str">
        <f t="shared" si="0"/>
        <v>Mon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45678</v>
      </c>
      <c r="I24" s="12" t="str">
        <f t="shared" si="0"/>
        <v>Tue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45679</v>
      </c>
      <c r="I25" s="12" t="str">
        <f t="shared" si="0"/>
        <v>Wed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45680</v>
      </c>
      <c r="I26" s="12" t="str">
        <f t="shared" si="0"/>
        <v>Thu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45681</v>
      </c>
      <c r="I27" s="12" t="str">
        <f t="shared" si="0"/>
        <v>Fri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45682</v>
      </c>
      <c r="I28" s="12" t="str">
        <f t="shared" si="0"/>
        <v>Sat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45683</v>
      </c>
      <c r="I29" s="12" t="str">
        <f t="shared" si="0"/>
        <v>Sun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45684</v>
      </c>
      <c r="I30" s="12" t="str">
        <f t="shared" si="0"/>
        <v>Mon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45685</v>
      </c>
      <c r="I31" s="12" t="str">
        <f t="shared" si="0"/>
        <v>Tue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45686</v>
      </c>
      <c r="I32" s="12" t="str">
        <f t="shared" si="0"/>
        <v>Wed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45687</v>
      </c>
      <c r="I33" s="12" t="str">
        <f t="shared" si="0"/>
        <v>Thu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45688</v>
      </c>
      <c r="I34" s="29" t="str">
        <f>TEXT(H34,"DDD")</f>
        <v>Fri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75" priority="1" operator="equal">
      <formula>"No"</formula>
    </cfRule>
    <cfRule type="cellIs" dxfId="74" priority="2" operator="equal">
      <formula>"Yes"</formula>
    </cfRule>
  </conditionalFormatting>
  <conditionalFormatting sqref="D33:D34">
    <cfRule type="cellIs" dxfId="73" priority="3" operator="lessThan">
      <formula>0</formula>
    </cfRule>
    <cfRule type="cellIs" dxfId="72" priority="4" operator="greaterThan">
      <formula>0</formula>
    </cfRule>
  </conditionalFormatting>
  <conditionalFormatting sqref="I4:I34">
    <cfRule type="cellIs" dxfId="71" priority="7" operator="equal">
      <formula>"SUN"</formula>
    </cfRule>
    <cfRule type="cellIs" dxfId="70" priority="8" operator="equal">
      <formula>"SAT"</formula>
    </cfRule>
  </conditionalFormatting>
  <dataValidations count="2">
    <dataValidation type="list" allowBlank="1" showInputMessage="1" showErrorMessage="1" sqref="D3" xr:uid="{B83A6BDE-219A-4048-B4F9-BAEA87550C98}">
      <formula1>"January, February, March, April, May, June, July, August, September, October, November, December"</formula1>
    </dataValidation>
    <dataValidation type="list" allowBlank="1" showInputMessage="1" showErrorMessage="1" sqref="D5" xr:uid="{E2D77B28-B74C-4412-996B-6BAAB137ACF6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7491-725A-4C4B-A624-C3F6CA43A8C4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27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45689</v>
      </c>
      <c r="I4" s="12" t="str">
        <f>TEXT(H4,"DDD")</f>
        <v>Sat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45690</v>
      </c>
      <c r="I5" s="12" t="str">
        <f t="shared" ref="I5:I33" si="0">TEXT(H5,"DDD")</f>
        <v>Sun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45691</v>
      </c>
      <c r="I6" s="12" t="str">
        <f t="shared" si="0"/>
        <v>Mon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45689</v>
      </c>
      <c r="E7" s="6"/>
      <c r="G7" s="12">
        <v>4</v>
      </c>
      <c r="H7" s="22">
        <f t="shared" si="9"/>
        <v>45692</v>
      </c>
      <c r="I7" s="12" t="str">
        <f t="shared" si="0"/>
        <v>Tue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45693</v>
      </c>
      <c r="I8" s="12" t="str">
        <f t="shared" si="0"/>
        <v>Wed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45716</v>
      </c>
      <c r="E9" s="6"/>
      <c r="G9" s="12">
        <v>6</v>
      </c>
      <c r="H9" s="22">
        <f t="shared" si="9"/>
        <v>45694</v>
      </c>
      <c r="I9" s="12" t="str">
        <f t="shared" si="0"/>
        <v>Thu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45695</v>
      </c>
      <c r="I10" s="12" t="str">
        <f t="shared" si="0"/>
        <v>Fri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28</v>
      </c>
      <c r="E11" s="6"/>
      <c r="G11" s="12">
        <v>8</v>
      </c>
      <c r="H11" s="22">
        <f t="shared" si="9"/>
        <v>45696</v>
      </c>
      <c r="I11" s="12" t="str">
        <f t="shared" si="0"/>
        <v>Sat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45697</v>
      </c>
      <c r="I12" s="12" t="str">
        <f t="shared" si="0"/>
        <v>Sun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45698</v>
      </c>
      <c r="I13" s="12" t="str">
        <f t="shared" si="0"/>
        <v>Mon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45699</v>
      </c>
      <c r="I14" s="12" t="str">
        <f t="shared" si="0"/>
        <v>Tue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45700</v>
      </c>
      <c r="I15" s="12" t="str">
        <f t="shared" si="0"/>
        <v>Wed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45701</v>
      </c>
      <c r="I16" s="12" t="str">
        <f t="shared" si="0"/>
        <v>Thu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45702</v>
      </c>
      <c r="I17" s="12" t="str">
        <f t="shared" si="0"/>
        <v>Fri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45703</v>
      </c>
      <c r="I18" s="12" t="str">
        <f t="shared" si="0"/>
        <v>Sat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45704</v>
      </c>
      <c r="I19" s="12" t="str">
        <f t="shared" si="0"/>
        <v>Sun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45705</v>
      </c>
      <c r="I20" s="12" t="str">
        <f t="shared" si="0"/>
        <v>Mon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45706</v>
      </c>
      <c r="I21" s="12" t="str">
        <f t="shared" si="0"/>
        <v>Tue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45707</v>
      </c>
      <c r="I22" s="12" t="str">
        <f t="shared" si="0"/>
        <v>Wed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45708</v>
      </c>
      <c r="I23" s="12" t="str">
        <f t="shared" si="0"/>
        <v>Thu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45709</v>
      </c>
      <c r="I24" s="12" t="str">
        <f t="shared" si="0"/>
        <v>Fri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45710</v>
      </c>
      <c r="I25" s="12" t="str">
        <f t="shared" si="0"/>
        <v>Sat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45711</v>
      </c>
      <c r="I26" s="12" t="str">
        <f t="shared" si="0"/>
        <v>Sun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45712</v>
      </c>
      <c r="I27" s="12" t="str">
        <f t="shared" si="0"/>
        <v>Mon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45713</v>
      </c>
      <c r="I28" s="12" t="str">
        <f t="shared" si="0"/>
        <v>Tue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45714</v>
      </c>
      <c r="I29" s="12" t="str">
        <f t="shared" si="0"/>
        <v>Wed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45715</v>
      </c>
      <c r="I30" s="12" t="str">
        <f t="shared" si="0"/>
        <v>Thu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45716</v>
      </c>
      <c r="I31" s="12" t="str">
        <f t="shared" si="0"/>
        <v>Fri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 t="str">
        <f t="shared" si="9"/>
        <v>EOM</v>
      </c>
      <c r="I32" s="12" t="str">
        <f t="shared" si="0"/>
        <v>EOM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 t="str">
        <f t="shared" si="9"/>
        <v>EOM</v>
      </c>
      <c r="I33" s="12" t="str">
        <f t="shared" si="0"/>
        <v>EOM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 t="str">
        <f t="shared" si="9"/>
        <v>EOM</v>
      </c>
      <c r="I34" s="29" t="str">
        <f>TEXT(H34,"DDD")</f>
        <v>EOM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69" priority="1" operator="equal">
      <formula>"No"</formula>
    </cfRule>
    <cfRule type="cellIs" dxfId="68" priority="2" operator="equal">
      <formula>"Yes"</formula>
    </cfRule>
  </conditionalFormatting>
  <conditionalFormatting sqref="D33:D34">
    <cfRule type="cellIs" dxfId="67" priority="3" operator="lessThan">
      <formula>0</formula>
    </cfRule>
    <cfRule type="cellIs" dxfId="66" priority="4" operator="greaterThan">
      <formula>0</formula>
    </cfRule>
  </conditionalFormatting>
  <conditionalFormatting sqref="I4:I34">
    <cfRule type="cellIs" dxfId="65" priority="7" operator="equal">
      <formula>"SUN"</formula>
    </cfRule>
    <cfRule type="cellIs" dxfId="64" priority="8" operator="equal">
      <formula>"SAT"</formula>
    </cfRule>
  </conditionalFormatting>
  <dataValidations count="2">
    <dataValidation type="list" allowBlank="1" showInputMessage="1" showErrorMessage="1" sqref="D5" xr:uid="{6CB2FF8D-121A-46F3-8007-C7463FBCD120}">
      <formula1>"2025, 2026, 2027, 2028, 2029, 2030, 2031, 2032, 2033"</formula1>
    </dataValidation>
    <dataValidation type="list" allowBlank="1" showInputMessage="1" showErrorMessage="1" sqref="D3" xr:uid="{8B20B01E-4626-4AC4-A050-6E2AF5D2134C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BA6A-D11C-4C65-A570-11BB825FF5C6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39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45717</v>
      </c>
      <c r="I4" s="12" t="str">
        <f>TEXT(H4,"DDD")</f>
        <v>Sat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45718</v>
      </c>
      <c r="I5" s="12" t="str">
        <f t="shared" ref="I5:I33" si="0">TEXT(H5,"DDD")</f>
        <v>Sun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45719</v>
      </c>
      <c r="I6" s="12" t="str">
        <f t="shared" si="0"/>
        <v>Mon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45717</v>
      </c>
      <c r="E7" s="6"/>
      <c r="G7" s="12">
        <v>4</v>
      </c>
      <c r="H7" s="22">
        <f t="shared" si="9"/>
        <v>45720</v>
      </c>
      <c r="I7" s="12" t="str">
        <f t="shared" si="0"/>
        <v>Tue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45721</v>
      </c>
      <c r="I8" s="12" t="str">
        <f t="shared" si="0"/>
        <v>Wed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45747</v>
      </c>
      <c r="E9" s="6"/>
      <c r="G9" s="12">
        <v>6</v>
      </c>
      <c r="H9" s="22">
        <f t="shared" si="9"/>
        <v>45722</v>
      </c>
      <c r="I9" s="12" t="str">
        <f t="shared" si="0"/>
        <v>Thu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45723</v>
      </c>
      <c r="I10" s="12" t="str">
        <f t="shared" si="0"/>
        <v>Fri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45724</v>
      </c>
      <c r="I11" s="12" t="str">
        <f t="shared" si="0"/>
        <v>Sat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45725</v>
      </c>
      <c r="I12" s="12" t="str">
        <f t="shared" si="0"/>
        <v>Sun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5</v>
      </c>
      <c r="E13" s="6"/>
      <c r="G13" s="12">
        <v>10</v>
      </c>
      <c r="H13" s="22">
        <f t="shared" si="9"/>
        <v>45726</v>
      </c>
      <c r="I13" s="12" t="str">
        <f t="shared" si="0"/>
        <v>Mon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5</v>
      </c>
      <c r="E14" s="6"/>
      <c r="G14" s="12">
        <v>11</v>
      </c>
      <c r="H14" s="22">
        <f t="shared" si="9"/>
        <v>45727</v>
      </c>
      <c r="I14" s="12" t="str">
        <f t="shared" si="0"/>
        <v>Tue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45728</v>
      </c>
      <c r="I15" s="12" t="str">
        <f t="shared" si="0"/>
        <v>Wed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45729</v>
      </c>
      <c r="I16" s="12" t="str">
        <f t="shared" si="0"/>
        <v>Thu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45730</v>
      </c>
      <c r="I17" s="12" t="str">
        <f t="shared" si="0"/>
        <v>Fri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45731</v>
      </c>
      <c r="I18" s="12" t="str">
        <f t="shared" si="0"/>
        <v>Sat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45732</v>
      </c>
      <c r="I19" s="12" t="str">
        <f t="shared" si="0"/>
        <v>Sun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45733</v>
      </c>
      <c r="I20" s="12" t="str">
        <f t="shared" si="0"/>
        <v>Mon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45734</v>
      </c>
      <c r="I21" s="12" t="str">
        <f t="shared" si="0"/>
        <v>Tue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45735</v>
      </c>
      <c r="I22" s="12" t="str">
        <f t="shared" si="0"/>
        <v>Wed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45736</v>
      </c>
      <c r="I23" s="12" t="str">
        <f t="shared" si="0"/>
        <v>Thu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45737</v>
      </c>
      <c r="I24" s="12" t="str">
        <f t="shared" si="0"/>
        <v>Fri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45738</v>
      </c>
      <c r="I25" s="12" t="str">
        <f t="shared" si="0"/>
        <v>Sat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45739</v>
      </c>
      <c r="I26" s="12" t="str">
        <f t="shared" si="0"/>
        <v>Sun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45740</v>
      </c>
      <c r="I27" s="12" t="str">
        <f t="shared" si="0"/>
        <v>Mon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45741</v>
      </c>
      <c r="I28" s="12" t="str">
        <f t="shared" si="0"/>
        <v>Tue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45742</v>
      </c>
      <c r="I29" s="12" t="str">
        <f t="shared" si="0"/>
        <v>Wed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45743</v>
      </c>
      <c r="I30" s="12" t="str">
        <f t="shared" si="0"/>
        <v>Thu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45744</v>
      </c>
      <c r="I31" s="12" t="str">
        <f t="shared" si="0"/>
        <v>Fri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45745</v>
      </c>
      <c r="I32" s="12" t="str">
        <f t="shared" si="0"/>
        <v>Sat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45746</v>
      </c>
      <c r="I33" s="12" t="str">
        <f t="shared" si="0"/>
        <v>Sun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45747</v>
      </c>
      <c r="I34" s="29" t="str">
        <f>TEXT(H34,"DDD")</f>
        <v>Mon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63" priority="1" operator="equal">
      <formula>"No"</formula>
    </cfRule>
    <cfRule type="cellIs" dxfId="62" priority="2" operator="equal">
      <formula>"Yes"</formula>
    </cfRule>
  </conditionalFormatting>
  <conditionalFormatting sqref="D33:D34">
    <cfRule type="cellIs" dxfId="61" priority="3" operator="lessThan">
      <formula>0</formula>
    </cfRule>
    <cfRule type="cellIs" dxfId="60" priority="4" operator="greaterThan">
      <formula>0</formula>
    </cfRule>
  </conditionalFormatting>
  <conditionalFormatting sqref="I4:I34">
    <cfRule type="cellIs" dxfId="59" priority="7" operator="equal">
      <formula>"SUN"</formula>
    </cfRule>
    <cfRule type="cellIs" dxfId="58" priority="8" operator="equal">
      <formula>"SAT"</formula>
    </cfRule>
  </conditionalFormatting>
  <dataValidations count="2">
    <dataValidation type="list" allowBlank="1" showInputMessage="1" showErrorMessage="1" sqref="D3" xr:uid="{08EC84B8-3F61-4616-A23A-EE7CAF275D85}">
      <formula1>"January, February, March, April, May, June, July, August, September, October, November, December"</formula1>
    </dataValidation>
    <dataValidation type="list" allowBlank="1" showInputMessage="1" showErrorMessage="1" sqref="D5" xr:uid="{8D62A9F3-6264-4B09-9E87-EB8471402BE8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FD21-2AAC-4300-8CAD-BCBAD189E5D5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40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45748</v>
      </c>
      <c r="I4" s="12" t="str">
        <f>TEXT(H4,"DDD")</f>
        <v>Tue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45749</v>
      </c>
      <c r="I5" s="12" t="str">
        <f t="shared" ref="I5:I33" si="0">TEXT(H5,"DDD")</f>
        <v>Wed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45750</v>
      </c>
      <c r="I6" s="12" t="str">
        <f t="shared" si="0"/>
        <v>Thu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45748</v>
      </c>
      <c r="E7" s="6"/>
      <c r="G7" s="12">
        <v>4</v>
      </c>
      <c r="H7" s="22">
        <f t="shared" si="9"/>
        <v>45751</v>
      </c>
      <c r="I7" s="12" t="str">
        <f t="shared" si="0"/>
        <v>Fri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45752</v>
      </c>
      <c r="I8" s="12" t="str">
        <f t="shared" si="0"/>
        <v>Sat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45777</v>
      </c>
      <c r="E9" s="6"/>
      <c r="G9" s="12">
        <v>6</v>
      </c>
      <c r="H9" s="22">
        <f t="shared" si="9"/>
        <v>45753</v>
      </c>
      <c r="I9" s="12" t="str">
        <f t="shared" si="0"/>
        <v>Sun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45754</v>
      </c>
      <c r="I10" s="12" t="str">
        <f t="shared" si="0"/>
        <v>Mon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30</v>
      </c>
      <c r="E11" s="6"/>
      <c r="G11" s="12">
        <v>8</v>
      </c>
      <c r="H11" s="22">
        <f t="shared" si="9"/>
        <v>45755</v>
      </c>
      <c r="I11" s="12" t="str">
        <f t="shared" si="0"/>
        <v>Tue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45756</v>
      </c>
      <c r="I12" s="12" t="str">
        <f t="shared" si="0"/>
        <v>Wed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45757</v>
      </c>
      <c r="I13" s="12" t="str">
        <f t="shared" si="0"/>
        <v>Thu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45758</v>
      </c>
      <c r="I14" s="12" t="str">
        <f t="shared" si="0"/>
        <v>Fri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45759</v>
      </c>
      <c r="I15" s="12" t="str">
        <f t="shared" si="0"/>
        <v>Sat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45760</v>
      </c>
      <c r="I16" s="12" t="str">
        <f t="shared" si="0"/>
        <v>Sun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45761</v>
      </c>
      <c r="I17" s="12" t="str">
        <f t="shared" si="0"/>
        <v>Mon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45762</v>
      </c>
      <c r="I18" s="12" t="str">
        <f t="shared" si="0"/>
        <v>Tue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45763</v>
      </c>
      <c r="I19" s="12" t="str">
        <f t="shared" si="0"/>
        <v>Wed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45764</v>
      </c>
      <c r="I20" s="12" t="str">
        <f t="shared" si="0"/>
        <v>Thu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45765</v>
      </c>
      <c r="I21" s="12" t="str">
        <f t="shared" si="0"/>
        <v>Fri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45766</v>
      </c>
      <c r="I22" s="12" t="str">
        <f t="shared" si="0"/>
        <v>Sat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45767</v>
      </c>
      <c r="I23" s="12" t="str">
        <f t="shared" si="0"/>
        <v>Sun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45768</v>
      </c>
      <c r="I24" s="12" t="str">
        <f t="shared" si="0"/>
        <v>Mon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45769</v>
      </c>
      <c r="I25" s="12" t="str">
        <f t="shared" si="0"/>
        <v>Tue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45770</v>
      </c>
      <c r="I26" s="12" t="str">
        <f t="shared" si="0"/>
        <v>Wed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45771</v>
      </c>
      <c r="I27" s="12" t="str">
        <f t="shared" si="0"/>
        <v>Thu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45772</v>
      </c>
      <c r="I28" s="12" t="str">
        <f t="shared" si="0"/>
        <v>Fri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45773</v>
      </c>
      <c r="I29" s="12" t="str">
        <f t="shared" si="0"/>
        <v>Sat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45774</v>
      </c>
      <c r="I30" s="12" t="str">
        <f t="shared" si="0"/>
        <v>Sun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45775</v>
      </c>
      <c r="I31" s="12" t="str">
        <f t="shared" si="0"/>
        <v>Mon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45776</v>
      </c>
      <c r="I32" s="12" t="str">
        <f t="shared" si="0"/>
        <v>Tue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45777</v>
      </c>
      <c r="I33" s="12" t="str">
        <f t="shared" si="0"/>
        <v>Wed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 t="str">
        <f t="shared" si="9"/>
        <v>EOM</v>
      </c>
      <c r="I34" s="29" t="str">
        <f>TEXT(H34,"DDD")</f>
        <v>EOM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57" priority="1" operator="equal">
      <formula>"No"</formula>
    </cfRule>
    <cfRule type="cellIs" dxfId="56" priority="2" operator="equal">
      <formula>"Yes"</formula>
    </cfRule>
  </conditionalFormatting>
  <conditionalFormatting sqref="D33:D34">
    <cfRule type="cellIs" dxfId="55" priority="3" operator="lessThan">
      <formula>0</formula>
    </cfRule>
    <cfRule type="cellIs" dxfId="54" priority="4" operator="greaterThan">
      <formula>0</formula>
    </cfRule>
  </conditionalFormatting>
  <conditionalFormatting sqref="I4:I34">
    <cfRule type="cellIs" dxfId="53" priority="7" operator="equal">
      <formula>"SUN"</formula>
    </cfRule>
    <cfRule type="cellIs" dxfId="52" priority="8" operator="equal">
      <formula>"SAT"</formula>
    </cfRule>
  </conditionalFormatting>
  <dataValidations count="2">
    <dataValidation type="list" allowBlank="1" showInputMessage="1" showErrorMessage="1" sqref="D5" xr:uid="{375A4B06-13E9-4C93-9E84-590FB1799D33}">
      <formula1>"2025, 2026, 2027, 2028, 2029, 2030, 2031, 2032, 2033"</formula1>
    </dataValidation>
    <dataValidation type="list" allowBlank="1" showInputMessage="1" showErrorMessage="1" sqref="D3" xr:uid="{D74E4BAC-C9F0-4CDB-9906-F04AF30BA543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0FE4-6AC9-4A14-AD59-8237837C5653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41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45778</v>
      </c>
      <c r="I4" s="12" t="str">
        <f>TEXT(H4,"DDD")</f>
        <v>Thu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45779</v>
      </c>
      <c r="I5" s="12" t="str">
        <f t="shared" ref="I5:I33" si="0">TEXT(H5,"DDD")</f>
        <v>Fri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45780</v>
      </c>
      <c r="I6" s="12" t="str">
        <f t="shared" si="0"/>
        <v>Sat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45778</v>
      </c>
      <c r="E7" s="6"/>
      <c r="G7" s="12">
        <v>4</v>
      </c>
      <c r="H7" s="22">
        <f t="shared" si="9"/>
        <v>45781</v>
      </c>
      <c r="I7" s="12" t="str">
        <f t="shared" si="0"/>
        <v>Sun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45782</v>
      </c>
      <c r="I8" s="12" t="str">
        <f t="shared" si="0"/>
        <v>Mon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45808</v>
      </c>
      <c r="E9" s="6"/>
      <c r="G9" s="12">
        <v>6</v>
      </c>
      <c r="H9" s="22">
        <f t="shared" si="9"/>
        <v>45783</v>
      </c>
      <c r="I9" s="12" t="str">
        <f t="shared" si="0"/>
        <v>Tue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45784</v>
      </c>
      <c r="I10" s="12" t="str">
        <f t="shared" si="0"/>
        <v>Wed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45785</v>
      </c>
      <c r="I11" s="12" t="str">
        <f t="shared" si="0"/>
        <v>Thu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45786</v>
      </c>
      <c r="I12" s="12" t="str">
        <f t="shared" si="0"/>
        <v>Fri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5</v>
      </c>
      <c r="E13" s="6"/>
      <c r="G13" s="12">
        <v>10</v>
      </c>
      <c r="H13" s="22">
        <f t="shared" si="9"/>
        <v>45787</v>
      </c>
      <c r="I13" s="12" t="str">
        <f t="shared" si="0"/>
        <v>Sat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45788</v>
      </c>
      <c r="I14" s="12" t="str">
        <f t="shared" si="0"/>
        <v>Sun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45789</v>
      </c>
      <c r="I15" s="12" t="str">
        <f t="shared" si="0"/>
        <v>Mon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45790</v>
      </c>
      <c r="I16" s="12" t="str">
        <f t="shared" si="0"/>
        <v>Tue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45791</v>
      </c>
      <c r="I17" s="12" t="str">
        <f t="shared" si="0"/>
        <v>Wed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45792</v>
      </c>
      <c r="I18" s="12" t="str">
        <f t="shared" si="0"/>
        <v>Thu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45793</v>
      </c>
      <c r="I19" s="12" t="str">
        <f t="shared" si="0"/>
        <v>Fri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45794</v>
      </c>
      <c r="I20" s="12" t="str">
        <f t="shared" si="0"/>
        <v>Sat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45795</v>
      </c>
      <c r="I21" s="12" t="str">
        <f t="shared" si="0"/>
        <v>Sun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45796</v>
      </c>
      <c r="I22" s="12" t="str">
        <f t="shared" si="0"/>
        <v>Mon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45797</v>
      </c>
      <c r="I23" s="12" t="str">
        <f t="shared" si="0"/>
        <v>Tue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45798</v>
      </c>
      <c r="I24" s="12" t="str">
        <f t="shared" si="0"/>
        <v>Wed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45799</v>
      </c>
      <c r="I25" s="12" t="str">
        <f t="shared" si="0"/>
        <v>Thu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45800</v>
      </c>
      <c r="I26" s="12" t="str">
        <f t="shared" si="0"/>
        <v>Fri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45801</v>
      </c>
      <c r="I27" s="12" t="str">
        <f t="shared" si="0"/>
        <v>Sat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45802</v>
      </c>
      <c r="I28" s="12" t="str">
        <f t="shared" si="0"/>
        <v>Sun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45803</v>
      </c>
      <c r="I29" s="12" t="str">
        <f t="shared" si="0"/>
        <v>Mon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45804</v>
      </c>
      <c r="I30" s="12" t="str">
        <f t="shared" si="0"/>
        <v>Tue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45805</v>
      </c>
      <c r="I31" s="12" t="str">
        <f t="shared" si="0"/>
        <v>Wed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45806</v>
      </c>
      <c r="I32" s="12" t="str">
        <f t="shared" si="0"/>
        <v>Thu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45807</v>
      </c>
      <c r="I33" s="12" t="str">
        <f t="shared" si="0"/>
        <v>Fri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45808</v>
      </c>
      <c r="I34" s="29" t="str">
        <f>TEXT(H34,"DDD")</f>
        <v>Sat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51" priority="1" operator="equal">
      <formula>"No"</formula>
    </cfRule>
    <cfRule type="cellIs" dxfId="50" priority="2" operator="equal">
      <formula>"Yes"</formula>
    </cfRule>
  </conditionalFormatting>
  <conditionalFormatting sqref="D33:D34">
    <cfRule type="cellIs" dxfId="49" priority="3" operator="lessThan">
      <formula>0</formula>
    </cfRule>
    <cfRule type="cellIs" dxfId="48" priority="4" operator="greaterThan">
      <formula>0</formula>
    </cfRule>
  </conditionalFormatting>
  <conditionalFormatting sqref="I4:I34">
    <cfRule type="cellIs" dxfId="47" priority="7" operator="equal">
      <formula>"SUN"</formula>
    </cfRule>
    <cfRule type="cellIs" dxfId="46" priority="8" operator="equal">
      <formula>"SAT"</formula>
    </cfRule>
  </conditionalFormatting>
  <dataValidations count="2">
    <dataValidation type="list" allowBlank="1" showInputMessage="1" showErrorMessage="1" sqref="D3" xr:uid="{B19F00D5-C44E-45C1-A509-08285BD96CAC}">
      <formula1>"January, February, March, April, May, June, July, August, September, October, November, December"</formula1>
    </dataValidation>
    <dataValidation type="list" allowBlank="1" showInputMessage="1" showErrorMessage="1" sqref="D5" xr:uid="{7443CC0B-2A46-4ABA-B7E8-82087FAFDC89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7A2B-885B-4063-A336-AD79D87A7837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38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45809</v>
      </c>
      <c r="I4" s="12" t="str">
        <f>TEXT(H4,"DDD")</f>
        <v>Sun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45810</v>
      </c>
      <c r="I5" s="12" t="str">
        <f t="shared" ref="I5:I33" si="0">TEXT(H5,"DDD")</f>
        <v>Mon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45811</v>
      </c>
      <c r="I6" s="12" t="str">
        <f t="shared" si="0"/>
        <v>Tue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45809</v>
      </c>
      <c r="E7" s="6"/>
      <c r="G7" s="12">
        <v>4</v>
      </c>
      <c r="H7" s="22">
        <f t="shared" si="9"/>
        <v>45812</v>
      </c>
      <c r="I7" s="12" t="str">
        <f t="shared" si="0"/>
        <v>Wed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45813</v>
      </c>
      <c r="I8" s="12" t="str">
        <f t="shared" si="0"/>
        <v>Thu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45838</v>
      </c>
      <c r="E9" s="6"/>
      <c r="G9" s="12">
        <v>6</v>
      </c>
      <c r="H9" s="22">
        <f t="shared" si="9"/>
        <v>45814</v>
      </c>
      <c r="I9" s="12" t="str">
        <f t="shared" si="0"/>
        <v>Fri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45815</v>
      </c>
      <c r="I10" s="12" t="str">
        <f t="shared" si="0"/>
        <v>Sat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30</v>
      </c>
      <c r="E11" s="6"/>
      <c r="G11" s="12">
        <v>8</v>
      </c>
      <c r="H11" s="22">
        <f t="shared" si="9"/>
        <v>45816</v>
      </c>
      <c r="I11" s="12" t="str">
        <f t="shared" si="0"/>
        <v>Sun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45817</v>
      </c>
      <c r="I12" s="12" t="str">
        <f t="shared" si="0"/>
        <v>Mon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45818</v>
      </c>
      <c r="I13" s="12" t="str">
        <f t="shared" si="0"/>
        <v>Tue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5</v>
      </c>
      <c r="E14" s="6"/>
      <c r="G14" s="12">
        <v>11</v>
      </c>
      <c r="H14" s="22">
        <f t="shared" si="9"/>
        <v>45819</v>
      </c>
      <c r="I14" s="12" t="str">
        <f t="shared" si="0"/>
        <v>Wed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45820</v>
      </c>
      <c r="I15" s="12" t="str">
        <f t="shared" si="0"/>
        <v>Thu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45821</v>
      </c>
      <c r="I16" s="12" t="str">
        <f t="shared" si="0"/>
        <v>Fri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45822</v>
      </c>
      <c r="I17" s="12" t="str">
        <f t="shared" si="0"/>
        <v>Sat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45823</v>
      </c>
      <c r="I18" s="12" t="str">
        <f t="shared" si="0"/>
        <v>Sun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45824</v>
      </c>
      <c r="I19" s="12" t="str">
        <f t="shared" si="0"/>
        <v>Mon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45825</v>
      </c>
      <c r="I20" s="12" t="str">
        <f t="shared" si="0"/>
        <v>Tue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45826</v>
      </c>
      <c r="I21" s="12" t="str">
        <f t="shared" si="0"/>
        <v>Wed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45827</v>
      </c>
      <c r="I22" s="12" t="str">
        <f t="shared" si="0"/>
        <v>Thu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45828</v>
      </c>
      <c r="I23" s="12" t="str">
        <f t="shared" si="0"/>
        <v>Fri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45829</v>
      </c>
      <c r="I24" s="12" t="str">
        <f t="shared" si="0"/>
        <v>Sat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45830</v>
      </c>
      <c r="I25" s="12" t="str">
        <f t="shared" si="0"/>
        <v>Sun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45831</v>
      </c>
      <c r="I26" s="12" t="str">
        <f t="shared" si="0"/>
        <v>Mon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45832</v>
      </c>
      <c r="I27" s="12" t="str">
        <f t="shared" si="0"/>
        <v>Tue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45833</v>
      </c>
      <c r="I28" s="12" t="str">
        <f t="shared" si="0"/>
        <v>Wed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45834</v>
      </c>
      <c r="I29" s="12" t="str">
        <f t="shared" si="0"/>
        <v>Thu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45835</v>
      </c>
      <c r="I30" s="12" t="str">
        <f t="shared" si="0"/>
        <v>Fri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45836</v>
      </c>
      <c r="I31" s="12" t="str">
        <f t="shared" si="0"/>
        <v>Sat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45837</v>
      </c>
      <c r="I32" s="12" t="str">
        <f t="shared" si="0"/>
        <v>Sun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45838</v>
      </c>
      <c r="I33" s="12" t="str">
        <f t="shared" si="0"/>
        <v>Mon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 t="str">
        <f t="shared" si="9"/>
        <v>EOM</v>
      </c>
      <c r="I34" s="29" t="str">
        <f>TEXT(H34,"DDD")</f>
        <v>EOM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45" priority="1" operator="equal">
      <formula>"No"</formula>
    </cfRule>
    <cfRule type="cellIs" dxfId="44" priority="2" operator="equal">
      <formula>"Yes"</formula>
    </cfRule>
  </conditionalFormatting>
  <conditionalFormatting sqref="D33:D34">
    <cfRule type="cellIs" dxfId="43" priority="3" operator="lessThan">
      <formula>0</formula>
    </cfRule>
    <cfRule type="cellIs" dxfId="42" priority="4" operator="greaterThan">
      <formula>0</formula>
    </cfRule>
  </conditionalFormatting>
  <conditionalFormatting sqref="I4:I34">
    <cfRule type="cellIs" dxfId="41" priority="7" operator="equal">
      <formula>"SUN"</formula>
    </cfRule>
    <cfRule type="cellIs" dxfId="40" priority="8" operator="equal">
      <formula>"SAT"</formula>
    </cfRule>
  </conditionalFormatting>
  <dataValidations count="2">
    <dataValidation type="list" allowBlank="1" showInputMessage="1" showErrorMessage="1" sqref="D5" xr:uid="{AC4D2350-8D2C-4EA9-AAD8-9D2FD675EB63}">
      <formula1>"2025, 2026, 2027, 2028, 2029, 2030, 2031, 2032, 2033"</formula1>
    </dataValidation>
    <dataValidation type="list" allowBlank="1" showInputMessage="1" showErrorMessage="1" sqref="D3" xr:uid="{8F4E9053-9F83-4975-9FBA-2A35DF519C6E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F922-6D94-4882-9059-709EBA4F3624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37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45839</v>
      </c>
      <c r="I4" s="12" t="str">
        <f>TEXT(H4,"DDD")</f>
        <v>Tue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45840</v>
      </c>
      <c r="I5" s="12" t="str">
        <f t="shared" ref="I5:I33" si="0">TEXT(H5,"DDD")</f>
        <v>Wed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45841</v>
      </c>
      <c r="I6" s="12" t="str">
        <f t="shared" si="0"/>
        <v>Thu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45839</v>
      </c>
      <c r="E7" s="6"/>
      <c r="G7" s="12">
        <v>4</v>
      </c>
      <c r="H7" s="22">
        <f t="shared" si="9"/>
        <v>45842</v>
      </c>
      <c r="I7" s="12" t="str">
        <f t="shared" si="0"/>
        <v>Fri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45843</v>
      </c>
      <c r="I8" s="12" t="str">
        <f t="shared" si="0"/>
        <v>Sat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45869</v>
      </c>
      <c r="E9" s="6"/>
      <c r="G9" s="12">
        <v>6</v>
      </c>
      <c r="H9" s="22">
        <f t="shared" si="9"/>
        <v>45844</v>
      </c>
      <c r="I9" s="12" t="str">
        <f t="shared" si="0"/>
        <v>Sun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45845</v>
      </c>
      <c r="I10" s="12" t="str">
        <f t="shared" si="0"/>
        <v>Mon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45846</v>
      </c>
      <c r="I11" s="12" t="str">
        <f t="shared" si="0"/>
        <v>Tue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45847</v>
      </c>
      <c r="I12" s="12" t="str">
        <f t="shared" si="0"/>
        <v>Wed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45848</v>
      </c>
      <c r="I13" s="12" t="str">
        <f t="shared" si="0"/>
        <v>Thu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45849</v>
      </c>
      <c r="I14" s="12" t="str">
        <f t="shared" si="0"/>
        <v>Fri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45850</v>
      </c>
      <c r="I15" s="12" t="str">
        <f t="shared" si="0"/>
        <v>Sat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45851</v>
      </c>
      <c r="I16" s="12" t="str">
        <f t="shared" si="0"/>
        <v>Sun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45852</v>
      </c>
      <c r="I17" s="12" t="str">
        <f t="shared" si="0"/>
        <v>Mon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45853</v>
      </c>
      <c r="I18" s="12" t="str">
        <f t="shared" si="0"/>
        <v>Tue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45854</v>
      </c>
      <c r="I19" s="12" t="str">
        <f t="shared" si="0"/>
        <v>Wed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45855</v>
      </c>
      <c r="I20" s="12" t="str">
        <f t="shared" si="0"/>
        <v>Thu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45856</v>
      </c>
      <c r="I21" s="12" t="str">
        <f t="shared" si="0"/>
        <v>Fri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45857</v>
      </c>
      <c r="I22" s="12" t="str">
        <f t="shared" si="0"/>
        <v>Sat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45858</v>
      </c>
      <c r="I23" s="12" t="str">
        <f t="shared" si="0"/>
        <v>Sun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45859</v>
      </c>
      <c r="I24" s="12" t="str">
        <f t="shared" si="0"/>
        <v>Mon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45860</v>
      </c>
      <c r="I25" s="12" t="str">
        <f t="shared" si="0"/>
        <v>Tue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45861</v>
      </c>
      <c r="I26" s="12" t="str">
        <f t="shared" si="0"/>
        <v>Wed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45862</v>
      </c>
      <c r="I27" s="12" t="str">
        <f t="shared" si="0"/>
        <v>Thu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45863</v>
      </c>
      <c r="I28" s="12" t="str">
        <f t="shared" si="0"/>
        <v>Fri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45864</v>
      </c>
      <c r="I29" s="12" t="str">
        <f t="shared" si="0"/>
        <v>Sat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45865</v>
      </c>
      <c r="I30" s="12" t="str">
        <f t="shared" si="0"/>
        <v>Sun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45866</v>
      </c>
      <c r="I31" s="12" t="str">
        <f t="shared" si="0"/>
        <v>Mon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45867</v>
      </c>
      <c r="I32" s="12" t="str">
        <f t="shared" si="0"/>
        <v>Tue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45868</v>
      </c>
      <c r="I33" s="12" t="str">
        <f t="shared" si="0"/>
        <v>Wed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45869</v>
      </c>
      <c r="I34" s="29" t="str">
        <f>TEXT(H34,"DDD")</f>
        <v>Thu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39" priority="1" operator="equal">
      <formula>"No"</formula>
    </cfRule>
    <cfRule type="cellIs" dxfId="38" priority="2" operator="equal">
      <formula>"Yes"</formula>
    </cfRule>
  </conditionalFormatting>
  <conditionalFormatting sqref="D33:D34">
    <cfRule type="cellIs" dxfId="37" priority="3" operator="lessThan">
      <formula>0</formula>
    </cfRule>
    <cfRule type="cellIs" dxfId="36" priority="4" operator="greaterThan">
      <formula>0</formula>
    </cfRule>
  </conditionalFormatting>
  <conditionalFormatting sqref="I4:I34">
    <cfRule type="cellIs" dxfId="35" priority="7" operator="equal">
      <formula>"SUN"</formula>
    </cfRule>
    <cfRule type="cellIs" dxfId="34" priority="8" operator="equal">
      <formula>"SAT"</formula>
    </cfRule>
  </conditionalFormatting>
  <dataValidations count="2">
    <dataValidation type="list" allowBlank="1" showInputMessage="1" showErrorMessage="1" sqref="D3" xr:uid="{9B32F4B0-5EFE-4C19-9D85-FFA63D33C606}">
      <formula1>"January, February, March, April, May, June, July, August, September, October, November, December"</formula1>
    </dataValidation>
    <dataValidation type="list" allowBlank="1" showInputMessage="1" showErrorMessage="1" sqref="D5" xr:uid="{E6769EC5-9D77-4575-A71D-D7DD0B707C9E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A8BC-34A0-4959-A5BE-D334DBFD2320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48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45870</v>
      </c>
      <c r="I4" s="12" t="str">
        <f>TEXT(H4,"DDD")</f>
        <v>Fri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45871</v>
      </c>
      <c r="I5" s="12" t="str">
        <f t="shared" ref="I5:I33" si="0">TEXT(H5,"DDD")</f>
        <v>Sat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45872</v>
      </c>
      <c r="I6" s="12" t="str">
        <f t="shared" si="0"/>
        <v>Sun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45870</v>
      </c>
      <c r="E7" s="6"/>
      <c r="G7" s="12">
        <v>4</v>
      </c>
      <c r="H7" s="22">
        <f t="shared" si="9"/>
        <v>45873</v>
      </c>
      <c r="I7" s="12" t="str">
        <f t="shared" si="0"/>
        <v>Mon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45874</v>
      </c>
      <c r="I8" s="12" t="str">
        <f t="shared" si="0"/>
        <v>Tue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45900</v>
      </c>
      <c r="E9" s="6"/>
      <c r="G9" s="12">
        <v>6</v>
      </c>
      <c r="H9" s="22">
        <f t="shared" si="9"/>
        <v>45875</v>
      </c>
      <c r="I9" s="12" t="str">
        <f t="shared" si="0"/>
        <v>Wed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45876</v>
      </c>
      <c r="I10" s="12" t="str">
        <f t="shared" si="0"/>
        <v>Thu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45877</v>
      </c>
      <c r="I11" s="12" t="str">
        <f t="shared" si="0"/>
        <v>Fri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45878</v>
      </c>
      <c r="I12" s="12" t="str">
        <f t="shared" si="0"/>
        <v>Sat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5</v>
      </c>
      <c r="E13" s="6"/>
      <c r="G13" s="12">
        <v>10</v>
      </c>
      <c r="H13" s="22">
        <f t="shared" si="9"/>
        <v>45879</v>
      </c>
      <c r="I13" s="12" t="str">
        <f t="shared" si="0"/>
        <v>Sun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5</v>
      </c>
      <c r="E14" s="6"/>
      <c r="G14" s="12">
        <v>11</v>
      </c>
      <c r="H14" s="22">
        <f t="shared" si="9"/>
        <v>45880</v>
      </c>
      <c r="I14" s="12" t="str">
        <f t="shared" si="0"/>
        <v>Mon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45881</v>
      </c>
      <c r="I15" s="12" t="str">
        <f t="shared" si="0"/>
        <v>Tue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45882</v>
      </c>
      <c r="I16" s="12" t="str">
        <f t="shared" si="0"/>
        <v>Wed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45883</v>
      </c>
      <c r="I17" s="12" t="str">
        <f t="shared" si="0"/>
        <v>Thu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45884</v>
      </c>
      <c r="I18" s="12" t="str">
        <f t="shared" si="0"/>
        <v>Fri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45885</v>
      </c>
      <c r="I19" s="12" t="str">
        <f t="shared" si="0"/>
        <v>Sat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45886</v>
      </c>
      <c r="I20" s="12" t="str">
        <f t="shared" si="0"/>
        <v>Sun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45887</v>
      </c>
      <c r="I21" s="12" t="str">
        <f t="shared" si="0"/>
        <v>Mon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45888</v>
      </c>
      <c r="I22" s="12" t="str">
        <f t="shared" si="0"/>
        <v>Tue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45889</v>
      </c>
      <c r="I23" s="12" t="str">
        <f t="shared" si="0"/>
        <v>Wed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45890</v>
      </c>
      <c r="I24" s="12" t="str">
        <f t="shared" si="0"/>
        <v>Thu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45891</v>
      </c>
      <c r="I25" s="12" t="str">
        <f t="shared" si="0"/>
        <v>Fri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45892</v>
      </c>
      <c r="I26" s="12" t="str">
        <f t="shared" si="0"/>
        <v>Sat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45893</v>
      </c>
      <c r="I27" s="12" t="str">
        <f t="shared" si="0"/>
        <v>Sun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45894</v>
      </c>
      <c r="I28" s="12" t="str">
        <f t="shared" si="0"/>
        <v>Mon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45895</v>
      </c>
      <c r="I29" s="12" t="str">
        <f t="shared" si="0"/>
        <v>Tue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45896</v>
      </c>
      <c r="I30" s="12" t="str">
        <f t="shared" si="0"/>
        <v>Wed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45897</v>
      </c>
      <c r="I31" s="12" t="str">
        <f t="shared" si="0"/>
        <v>Thu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45898</v>
      </c>
      <c r="I32" s="12" t="str">
        <f t="shared" si="0"/>
        <v>Fri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45899</v>
      </c>
      <c r="I33" s="12" t="str">
        <f t="shared" si="0"/>
        <v>Sat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45900</v>
      </c>
      <c r="I34" s="29" t="str">
        <f>TEXT(H34,"DDD")</f>
        <v>Sun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33" priority="1" operator="equal">
      <formula>"No"</formula>
    </cfRule>
    <cfRule type="cellIs" dxfId="32" priority="2" operator="equal">
      <formula>"Yes"</formula>
    </cfRule>
  </conditionalFormatting>
  <conditionalFormatting sqref="D33:D34">
    <cfRule type="cellIs" dxfId="31" priority="3" operator="lessThan">
      <formula>0</formula>
    </cfRule>
    <cfRule type="cellIs" dxfId="30" priority="4" operator="greaterThan">
      <formula>0</formula>
    </cfRule>
  </conditionalFormatting>
  <conditionalFormatting sqref="I4:I34">
    <cfRule type="cellIs" dxfId="29" priority="7" operator="equal">
      <formula>"SUN"</formula>
    </cfRule>
    <cfRule type="cellIs" dxfId="28" priority="8" operator="equal">
      <formula>"SAT"</formula>
    </cfRule>
  </conditionalFormatting>
  <dataValidations count="2">
    <dataValidation type="list" allowBlank="1" showInputMessage="1" showErrorMessage="1" sqref="D5" xr:uid="{5C3C6BC4-66AD-4482-A7E5-ABE331B91B5F}">
      <formula1>"2025, 2026, 2027, 2028, 2029, 2030, 2031, 2032, 2033"</formula1>
    </dataValidation>
    <dataValidation type="list" allowBlank="1" showInputMessage="1" showErrorMessage="1" sqref="D3" xr:uid="{49A7EEBA-1511-4DFB-9C2B-58EE5BDBCFF2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4746-6EF6-4A60-93EE-9FED378E3F29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47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45901</v>
      </c>
      <c r="I4" s="12" t="str">
        <f>TEXT(H4,"DDD")</f>
        <v>Mon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45902</v>
      </c>
      <c r="I5" s="12" t="str">
        <f t="shared" ref="I5:I33" si="0">TEXT(H5,"DDD")</f>
        <v>Tue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45903</v>
      </c>
      <c r="I6" s="12" t="str">
        <f t="shared" si="0"/>
        <v>Wed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45901</v>
      </c>
      <c r="E7" s="6"/>
      <c r="G7" s="12">
        <v>4</v>
      </c>
      <c r="H7" s="22">
        <f t="shared" si="9"/>
        <v>45904</v>
      </c>
      <c r="I7" s="12" t="str">
        <f t="shared" si="0"/>
        <v>Thu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45905</v>
      </c>
      <c r="I8" s="12" t="str">
        <f t="shared" si="0"/>
        <v>Fri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45930</v>
      </c>
      <c r="E9" s="6"/>
      <c r="G9" s="12">
        <v>6</v>
      </c>
      <c r="H9" s="22">
        <f t="shared" si="9"/>
        <v>45906</v>
      </c>
      <c r="I9" s="12" t="str">
        <f t="shared" si="0"/>
        <v>Sat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45907</v>
      </c>
      <c r="I10" s="12" t="str">
        <f t="shared" si="0"/>
        <v>Sun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30</v>
      </c>
      <c r="E11" s="6"/>
      <c r="G11" s="12">
        <v>8</v>
      </c>
      <c r="H11" s="22">
        <f t="shared" si="9"/>
        <v>45908</v>
      </c>
      <c r="I11" s="12" t="str">
        <f t="shared" si="0"/>
        <v>Mon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45909</v>
      </c>
      <c r="I12" s="12" t="str">
        <f t="shared" si="0"/>
        <v>Tue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45910</v>
      </c>
      <c r="I13" s="12" t="str">
        <f t="shared" si="0"/>
        <v>Wed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45911</v>
      </c>
      <c r="I14" s="12" t="str">
        <f t="shared" si="0"/>
        <v>Thu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45912</v>
      </c>
      <c r="I15" s="12" t="str">
        <f t="shared" si="0"/>
        <v>Fri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45913</v>
      </c>
      <c r="I16" s="12" t="str">
        <f t="shared" si="0"/>
        <v>Sat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45914</v>
      </c>
      <c r="I17" s="12" t="str">
        <f t="shared" si="0"/>
        <v>Sun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45915</v>
      </c>
      <c r="I18" s="12" t="str">
        <f t="shared" si="0"/>
        <v>Mon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45916</v>
      </c>
      <c r="I19" s="12" t="str">
        <f t="shared" si="0"/>
        <v>Tue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45917</v>
      </c>
      <c r="I20" s="12" t="str">
        <f t="shared" si="0"/>
        <v>Wed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45918</v>
      </c>
      <c r="I21" s="12" t="str">
        <f t="shared" si="0"/>
        <v>Thu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45919</v>
      </c>
      <c r="I22" s="12" t="str">
        <f t="shared" si="0"/>
        <v>Fri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45920</v>
      </c>
      <c r="I23" s="12" t="str">
        <f t="shared" si="0"/>
        <v>Sat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45921</v>
      </c>
      <c r="I24" s="12" t="str">
        <f t="shared" si="0"/>
        <v>Sun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45922</v>
      </c>
      <c r="I25" s="12" t="str">
        <f t="shared" si="0"/>
        <v>Mon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45923</v>
      </c>
      <c r="I26" s="12" t="str">
        <f t="shared" si="0"/>
        <v>Tue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45924</v>
      </c>
      <c r="I27" s="12" t="str">
        <f t="shared" si="0"/>
        <v>Wed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45925</v>
      </c>
      <c r="I28" s="12" t="str">
        <f t="shared" si="0"/>
        <v>Thu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45926</v>
      </c>
      <c r="I29" s="12" t="str">
        <f t="shared" si="0"/>
        <v>Fri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45927</v>
      </c>
      <c r="I30" s="12" t="str">
        <f t="shared" si="0"/>
        <v>Sat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45928</v>
      </c>
      <c r="I31" s="12" t="str">
        <f t="shared" si="0"/>
        <v>Sun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45929</v>
      </c>
      <c r="I32" s="12" t="str">
        <f t="shared" si="0"/>
        <v>Mon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45930</v>
      </c>
      <c r="I33" s="12" t="str">
        <f t="shared" si="0"/>
        <v>Tue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 t="str">
        <f t="shared" si="9"/>
        <v>EOM</v>
      </c>
      <c r="I34" s="29" t="str">
        <f>TEXT(H34,"DDD")</f>
        <v>EOM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27" priority="1" operator="equal">
      <formula>"No"</formula>
    </cfRule>
    <cfRule type="cellIs" dxfId="26" priority="2" operator="equal">
      <formula>"Yes"</formula>
    </cfRule>
  </conditionalFormatting>
  <conditionalFormatting sqref="D33:D34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I4:I34">
    <cfRule type="cellIs" dxfId="23" priority="7" operator="equal">
      <formula>"SUN"</formula>
    </cfRule>
    <cfRule type="cellIs" dxfId="22" priority="8" operator="equal">
      <formula>"SAT"</formula>
    </cfRule>
  </conditionalFormatting>
  <dataValidations count="2">
    <dataValidation type="list" allowBlank="1" showInputMessage="1" showErrorMessage="1" sqref="D3" xr:uid="{917D8993-C683-4060-B706-65B7B675E55A}">
      <formula1>"January, February, March, April, May, June, July, August, September, October, November, December"</formula1>
    </dataValidation>
    <dataValidation type="list" allowBlank="1" showInputMessage="1" showErrorMessage="1" sqref="D5" xr:uid="{27636E25-8D07-4E81-850A-4A2FF577DC70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21E9-47FE-442A-ABBE-F0205142D427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46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45931</v>
      </c>
      <c r="I4" s="12" t="str">
        <f>TEXT(H4,"DDD")</f>
        <v>Wed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45932</v>
      </c>
      <c r="I5" s="12" t="str">
        <f t="shared" ref="I5:I33" si="0">TEXT(H5,"DDD")</f>
        <v>Thu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45933</v>
      </c>
      <c r="I6" s="12" t="str">
        <f t="shared" si="0"/>
        <v>Fri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45931</v>
      </c>
      <c r="E7" s="6"/>
      <c r="G7" s="12">
        <v>4</v>
      </c>
      <c r="H7" s="22">
        <f t="shared" si="9"/>
        <v>45934</v>
      </c>
      <c r="I7" s="12" t="str">
        <f t="shared" si="0"/>
        <v>Sat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45935</v>
      </c>
      <c r="I8" s="12" t="str">
        <f t="shared" si="0"/>
        <v>Sun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45961</v>
      </c>
      <c r="E9" s="6"/>
      <c r="G9" s="12">
        <v>6</v>
      </c>
      <c r="H9" s="22">
        <f t="shared" si="9"/>
        <v>45936</v>
      </c>
      <c r="I9" s="12" t="str">
        <f t="shared" si="0"/>
        <v>Mon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45937</v>
      </c>
      <c r="I10" s="12" t="str">
        <f t="shared" si="0"/>
        <v>Tue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45938</v>
      </c>
      <c r="I11" s="12" t="str">
        <f t="shared" si="0"/>
        <v>Wed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45939</v>
      </c>
      <c r="I12" s="12" t="str">
        <f t="shared" si="0"/>
        <v>Thu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45940</v>
      </c>
      <c r="I13" s="12" t="str">
        <f t="shared" si="0"/>
        <v>Fri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45941</v>
      </c>
      <c r="I14" s="12" t="str">
        <f t="shared" si="0"/>
        <v>Sat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45942</v>
      </c>
      <c r="I15" s="12" t="str">
        <f t="shared" si="0"/>
        <v>Sun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45943</v>
      </c>
      <c r="I16" s="12" t="str">
        <f t="shared" si="0"/>
        <v>Mon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45944</v>
      </c>
      <c r="I17" s="12" t="str">
        <f t="shared" si="0"/>
        <v>Tue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45945</v>
      </c>
      <c r="I18" s="12" t="str">
        <f t="shared" si="0"/>
        <v>Wed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45946</v>
      </c>
      <c r="I19" s="12" t="str">
        <f t="shared" si="0"/>
        <v>Thu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45947</v>
      </c>
      <c r="I20" s="12" t="str">
        <f t="shared" si="0"/>
        <v>Fri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45948</v>
      </c>
      <c r="I21" s="12" t="str">
        <f t="shared" si="0"/>
        <v>Sat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45949</v>
      </c>
      <c r="I22" s="12" t="str">
        <f t="shared" si="0"/>
        <v>Sun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45950</v>
      </c>
      <c r="I23" s="12" t="str">
        <f t="shared" si="0"/>
        <v>Mon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45951</v>
      </c>
      <c r="I24" s="12" t="str">
        <f t="shared" si="0"/>
        <v>Tue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45952</v>
      </c>
      <c r="I25" s="12" t="str">
        <f t="shared" si="0"/>
        <v>Wed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45953</v>
      </c>
      <c r="I26" s="12" t="str">
        <f t="shared" si="0"/>
        <v>Thu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45954</v>
      </c>
      <c r="I27" s="12" t="str">
        <f t="shared" si="0"/>
        <v>Fri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45955</v>
      </c>
      <c r="I28" s="12" t="str">
        <f t="shared" si="0"/>
        <v>Sat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45956</v>
      </c>
      <c r="I29" s="12" t="str">
        <f t="shared" si="0"/>
        <v>Sun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45957</v>
      </c>
      <c r="I30" s="12" t="str">
        <f t="shared" si="0"/>
        <v>Mon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45958</v>
      </c>
      <c r="I31" s="12" t="str">
        <f t="shared" si="0"/>
        <v>Tue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45959</v>
      </c>
      <c r="I32" s="12" t="str">
        <f t="shared" si="0"/>
        <v>Wed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45960</v>
      </c>
      <c r="I33" s="12" t="str">
        <f t="shared" si="0"/>
        <v>Thu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45961</v>
      </c>
      <c r="I34" s="29" t="str">
        <f>TEXT(H34,"DDD")</f>
        <v>Fri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21" priority="1" operator="equal">
      <formula>"No"</formula>
    </cfRule>
    <cfRule type="cellIs" dxfId="20" priority="2" operator="equal">
      <formula>"Yes"</formula>
    </cfRule>
  </conditionalFormatting>
  <conditionalFormatting sqref="D33:D34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I4:I34">
    <cfRule type="cellIs" dxfId="17" priority="7" operator="equal">
      <formula>"SUN"</formula>
    </cfRule>
    <cfRule type="cellIs" dxfId="16" priority="8" operator="equal">
      <formula>"SAT"</formula>
    </cfRule>
  </conditionalFormatting>
  <dataValidations count="2">
    <dataValidation type="list" allowBlank="1" showInputMessage="1" showErrorMessage="1" sqref="D5" xr:uid="{834B2ABA-3B73-407D-81C1-9977CD00DCF5}">
      <formula1>"2025, 2026, 2027, 2028, 2029, 2030, 2031, 2032, 2033"</formula1>
    </dataValidation>
    <dataValidation type="list" allowBlank="1" showInputMessage="1" showErrorMessage="1" sqref="D3" xr:uid="{3B25D29A-14E1-4652-8684-A134241CA377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EEA3-BAB5-4F49-A751-30844BC2C3CB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45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45962</v>
      </c>
      <c r="I4" s="12" t="str">
        <f>TEXT(H4,"DDD")</f>
        <v>Sat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45963</v>
      </c>
      <c r="I5" s="12" t="str">
        <f t="shared" ref="I5:I33" si="0">TEXT(H5,"DDD")</f>
        <v>Sun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45964</v>
      </c>
      <c r="I6" s="12" t="str">
        <f t="shared" si="0"/>
        <v>Mon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45962</v>
      </c>
      <c r="E7" s="6"/>
      <c r="G7" s="12">
        <v>4</v>
      </c>
      <c r="H7" s="22">
        <f t="shared" si="9"/>
        <v>45965</v>
      </c>
      <c r="I7" s="12" t="str">
        <f t="shared" si="0"/>
        <v>Tue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45966</v>
      </c>
      <c r="I8" s="12" t="str">
        <f t="shared" si="0"/>
        <v>Wed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45991</v>
      </c>
      <c r="E9" s="6"/>
      <c r="G9" s="12">
        <v>6</v>
      </c>
      <c r="H9" s="22">
        <f t="shared" si="9"/>
        <v>45967</v>
      </c>
      <c r="I9" s="12" t="str">
        <f t="shared" si="0"/>
        <v>Thu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45968</v>
      </c>
      <c r="I10" s="12" t="str">
        <f t="shared" si="0"/>
        <v>Fri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30</v>
      </c>
      <c r="E11" s="6"/>
      <c r="G11" s="12">
        <v>8</v>
      </c>
      <c r="H11" s="22">
        <f t="shared" si="9"/>
        <v>45969</v>
      </c>
      <c r="I11" s="12" t="str">
        <f t="shared" si="0"/>
        <v>Sat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45970</v>
      </c>
      <c r="I12" s="12" t="str">
        <f t="shared" si="0"/>
        <v>Sun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5</v>
      </c>
      <c r="E13" s="6"/>
      <c r="G13" s="12">
        <v>10</v>
      </c>
      <c r="H13" s="22">
        <f t="shared" si="9"/>
        <v>45971</v>
      </c>
      <c r="I13" s="12" t="str">
        <f t="shared" si="0"/>
        <v>Mon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5</v>
      </c>
      <c r="E14" s="6"/>
      <c r="G14" s="12">
        <v>11</v>
      </c>
      <c r="H14" s="22">
        <f t="shared" si="9"/>
        <v>45972</v>
      </c>
      <c r="I14" s="12" t="str">
        <f t="shared" si="0"/>
        <v>Tue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45973</v>
      </c>
      <c r="I15" s="12" t="str">
        <f t="shared" si="0"/>
        <v>Wed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45974</v>
      </c>
      <c r="I16" s="12" t="str">
        <f t="shared" si="0"/>
        <v>Thu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45975</v>
      </c>
      <c r="I17" s="12" t="str">
        <f t="shared" si="0"/>
        <v>Fri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45976</v>
      </c>
      <c r="I18" s="12" t="str">
        <f t="shared" si="0"/>
        <v>Sat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45977</v>
      </c>
      <c r="I19" s="12" t="str">
        <f t="shared" si="0"/>
        <v>Sun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45978</v>
      </c>
      <c r="I20" s="12" t="str">
        <f t="shared" si="0"/>
        <v>Mon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45979</v>
      </c>
      <c r="I21" s="12" t="str">
        <f t="shared" si="0"/>
        <v>Tue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45980</v>
      </c>
      <c r="I22" s="12" t="str">
        <f t="shared" si="0"/>
        <v>Wed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45981</v>
      </c>
      <c r="I23" s="12" t="str">
        <f t="shared" si="0"/>
        <v>Thu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45982</v>
      </c>
      <c r="I24" s="12" t="str">
        <f t="shared" si="0"/>
        <v>Fri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45983</v>
      </c>
      <c r="I25" s="12" t="str">
        <f t="shared" si="0"/>
        <v>Sat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45984</v>
      </c>
      <c r="I26" s="12" t="str">
        <f t="shared" si="0"/>
        <v>Sun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45985</v>
      </c>
      <c r="I27" s="12" t="str">
        <f t="shared" si="0"/>
        <v>Mon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45986</v>
      </c>
      <c r="I28" s="12" t="str">
        <f t="shared" si="0"/>
        <v>Tue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45987</v>
      </c>
      <c r="I29" s="12" t="str">
        <f t="shared" si="0"/>
        <v>Wed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45988</v>
      </c>
      <c r="I30" s="12" t="str">
        <f t="shared" si="0"/>
        <v>Thu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45989</v>
      </c>
      <c r="I31" s="12" t="str">
        <f t="shared" si="0"/>
        <v>Fri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45990</v>
      </c>
      <c r="I32" s="12" t="str">
        <f t="shared" si="0"/>
        <v>Sat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45991</v>
      </c>
      <c r="I33" s="12" t="str">
        <f t="shared" si="0"/>
        <v>Sun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 t="str">
        <f t="shared" si="9"/>
        <v>EOM</v>
      </c>
      <c r="I34" s="29" t="str">
        <f>TEXT(H34,"DDD")</f>
        <v>EOM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15" priority="1" operator="equal">
      <formula>"No"</formula>
    </cfRule>
    <cfRule type="cellIs" dxfId="14" priority="2" operator="equal">
      <formula>"Yes"</formula>
    </cfRule>
  </conditionalFormatting>
  <conditionalFormatting sqref="D33:D34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I4:I34">
    <cfRule type="cellIs" dxfId="11" priority="7" operator="equal">
      <formula>"SUN"</formula>
    </cfRule>
    <cfRule type="cellIs" dxfId="10" priority="8" operator="equal">
      <formula>"SAT"</formula>
    </cfRule>
  </conditionalFormatting>
  <dataValidations count="2">
    <dataValidation type="list" allowBlank="1" showInputMessage="1" showErrorMessage="1" sqref="D3" xr:uid="{7118219B-874E-4349-8765-DC66B03B5F31}">
      <formula1>"January, February, March, April, May, June, July, August, September, October, November, December"</formula1>
    </dataValidation>
    <dataValidation type="list" allowBlank="1" showInputMessage="1" showErrorMessage="1" sqref="D5" xr:uid="{75845545-58E3-4812-95BC-59CE8F5BECC4}">
      <formula1>"2025, 2026, 2027, 2028, 2029, 2030, 2031, 2032, 2033"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03B5-4DEF-4D04-B3B3-B296C45D99A2}">
  <dimension ref="B1:X35"/>
  <sheetViews>
    <sheetView showGridLines="0" zoomScale="70" zoomScaleNormal="70" workbookViewId="0">
      <selection activeCell="D3" sqref="D3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8" max="8" width="10.3984375" bestFit="1" customWidth="1"/>
    <col min="10" max="10" width="11.3984375" bestFit="1" customWidth="1"/>
    <col min="11" max="11" width="13.69921875" bestFit="1" customWidth="1"/>
    <col min="12" max="12" width="10.09765625" bestFit="1" customWidth="1"/>
    <col min="13" max="13" width="14.796875" bestFit="1" customWidth="1"/>
    <col min="14" max="14" width="17" bestFit="1" customWidth="1"/>
    <col min="15" max="15" width="10.09765625" bestFit="1" customWidth="1"/>
    <col min="16" max="16" width="12.3984375" bestFit="1" customWidth="1"/>
    <col min="17" max="17" width="14.3984375" bestFit="1" customWidth="1"/>
    <col min="18" max="18" width="10.09765625" bestFit="1" customWidth="1"/>
    <col min="19" max="20" width="12.69921875" bestFit="1" customWidth="1"/>
    <col min="21" max="21" width="10.796875" bestFit="1" customWidth="1"/>
    <col min="22" max="22" width="10.09765625" bestFit="1" customWidth="1"/>
    <col min="23" max="23" width="16.796875" bestFit="1" customWidth="1"/>
    <col min="24" max="24" width="8.09765625" customWidth="1"/>
  </cols>
  <sheetData>
    <row r="1" spans="2:24" ht="10.8" customHeight="1" thickBot="1" x14ac:dyDescent="0.35"/>
    <row r="2" spans="2:24" ht="40.799999999999997" customHeight="1" thickBot="1" x14ac:dyDescent="0.35">
      <c r="B2" s="1"/>
      <c r="C2" s="2"/>
      <c r="D2" s="10" t="s">
        <v>29</v>
      </c>
      <c r="E2" s="3"/>
      <c r="G2" s="42" t="s">
        <v>30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  <c r="S2" s="45" t="s">
        <v>36</v>
      </c>
      <c r="T2" s="46"/>
      <c r="U2" s="46"/>
      <c r="V2" s="46"/>
      <c r="W2" s="46"/>
      <c r="X2" s="47"/>
    </row>
    <row r="3" spans="2:24" ht="16.2" thickBot="1" x14ac:dyDescent="0.35">
      <c r="B3" s="4"/>
      <c r="C3" s="5" t="s">
        <v>10</v>
      </c>
      <c r="D3" s="21" t="s">
        <v>44</v>
      </c>
      <c r="E3" s="6"/>
      <c r="G3" s="18" t="s">
        <v>0</v>
      </c>
      <c r="H3" s="18" t="s">
        <v>1</v>
      </c>
      <c r="I3" s="18" t="s">
        <v>2</v>
      </c>
      <c r="J3" s="13" t="s">
        <v>3</v>
      </c>
      <c r="K3" s="13" t="s">
        <v>4</v>
      </c>
      <c r="L3" s="13" t="s">
        <v>5</v>
      </c>
      <c r="M3" s="14" t="s">
        <v>6</v>
      </c>
      <c r="N3" s="14" t="s">
        <v>7</v>
      </c>
      <c r="O3" s="14" t="s">
        <v>5</v>
      </c>
      <c r="P3" s="15" t="s">
        <v>8</v>
      </c>
      <c r="Q3" s="15" t="s">
        <v>9</v>
      </c>
      <c r="R3" s="15" t="s">
        <v>5</v>
      </c>
      <c r="S3" s="16" t="s">
        <v>31</v>
      </c>
      <c r="T3" s="16" t="s">
        <v>32</v>
      </c>
      <c r="U3" s="16" t="s">
        <v>33</v>
      </c>
      <c r="V3" s="16" t="s">
        <v>5</v>
      </c>
      <c r="W3" s="16" t="s">
        <v>34</v>
      </c>
      <c r="X3" s="17" t="s">
        <v>35</v>
      </c>
    </row>
    <row r="4" spans="2:24" ht="16.2" thickBot="1" x14ac:dyDescent="0.35">
      <c r="B4" s="4"/>
      <c r="C4" s="5"/>
      <c r="D4" s="5"/>
      <c r="E4" s="6"/>
      <c r="G4" s="12">
        <v>1</v>
      </c>
      <c r="H4" s="22">
        <f>D7</f>
        <v>45992</v>
      </c>
      <c r="I4" s="12" t="str">
        <f>TEXT(H4,"DDD")</f>
        <v>Mon</v>
      </c>
      <c r="J4" s="12">
        <v>15000</v>
      </c>
      <c r="K4" s="12">
        <v>24</v>
      </c>
      <c r="L4" s="24">
        <f>IF(J4=0,"",J4/K4)</f>
        <v>625</v>
      </c>
      <c r="M4" s="12">
        <v>7000</v>
      </c>
      <c r="N4" s="12">
        <v>35</v>
      </c>
      <c r="O4" s="24">
        <f>IF(M4=0,"",M4/N4)</f>
        <v>200</v>
      </c>
      <c r="P4" s="12">
        <v>6000</v>
      </c>
      <c r="Q4" s="12">
        <v>36</v>
      </c>
      <c r="R4" s="24">
        <f>IF(P4=0,"",P4/Q4)</f>
        <v>166.66666666666666</v>
      </c>
      <c r="S4" s="25">
        <v>20000</v>
      </c>
      <c r="T4" s="25">
        <f>IF(J4=0,"",J4+M4+P4)</f>
        <v>28000</v>
      </c>
      <c r="U4" s="25">
        <f>IF(T4="","",K4+N4+Q4)</f>
        <v>95</v>
      </c>
      <c r="V4" s="26">
        <f>IF(U4="","",T4/U4)</f>
        <v>294.73684210526318</v>
      </c>
      <c r="W4" s="25">
        <f>IFERROR(T4-S4,"")</f>
        <v>8000</v>
      </c>
      <c r="X4" s="27">
        <f>IF(S4=0,"",T4/S4)</f>
        <v>1.4</v>
      </c>
    </row>
    <row r="5" spans="2:24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22">
        <f>IF(H4&lt;$D$9,H4+1,"EOM")</f>
        <v>45993</v>
      </c>
      <c r="I5" s="12" t="str">
        <f t="shared" ref="I5:I33" si="0">TEXT(H5,"DDD")</f>
        <v>Tue</v>
      </c>
      <c r="J5" s="12">
        <v>12000</v>
      </c>
      <c r="K5" s="12">
        <v>45</v>
      </c>
      <c r="L5" s="24">
        <f t="shared" ref="L5:L33" si="1">IF(J5=0,"",J5/K5)</f>
        <v>266.66666666666669</v>
      </c>
      <c r="M5" s="12">
        <v>5500</v>
      </c>
      <c r="N5" s="12">
        <v>50</v>
      </c>
      <c r="O5" s="24">
        <f t="shared" ref="O5:O34" si="2">IF(M5=0,"",M5/N5)</f>
        <v>110</v>
      </c>
      <c r="P5" s="12">
        <v>5321</v>
      </c>
      <c r="Q5" s="12">
        <v>34</v>
      </c>
      <c r="R5" s="24">
        <f t="shared" ref="R5:R34" si="3">IF(P5=0,"",P5/Q5)</f>
        <v>156.5</v>
      </c>
      <c r="S5" s="25">
        <v>20000</v>
      </c>
      <c r="T5" s="25">
        <f t="shared" ref="T5:T34" si="4">IF(J5=0,"",J5+M5+P5)</f>
        <v>22821</v>
      </c>
      <c r="U5" s="25">
        <f t="shared" ref="U5:U33" si="5">IF(T5="","",K5+N5+Q5)</f>
        <v>129</v>
      </c>
      <c r="V5" s="26">
        <f t="shared" ref="V5:V34" si="6">IF(U5="","",T5/U5)</f>
        <v>176.90697674418604</v>
      </c>
      <c r="W5" s="25">
        <f t="shared" ref="W5:W34" si="7">IFERROR(T5-S5,"")</f>
        <v>2821</v>
      </c>
      <c r="X5" s="27">
        <f t="shared" ref="X5:X34" si="8">IF(S5=0,"",T5/S5)</f>
        <v>1.1410499999999999</v>
      </c>
    </row>
    <row r="6" spans="2:24" ht="16.2" thickBot="1" x14ac:dyDescent="0.35">
      <c r="B6" s="4"/>
      <c r="C6" s="5"/>
      <c r="D6" s="5"/>
      <c r="E6" s="6"/>
      <c r="G6" s="12">
        <v>3</v>
      </c>
      <c r="H6" s="22">
        <f t="shared" ref="H6:H34" si="9">IF(H5&lt;$D$9,H5+1,"EOM")</f>
        <v>45994</v>
      </c>
      <c r="I6" s="12" t="str">
        <f t="shared" si="0"/>
        <v>Wed</v>
      </c>
      <c r="J6" s="12">
        <v>14000</v>
      </c>
      <c r="K6" s="12">
        <v>46</v>
      </c>
      <c r="L6" s="24">
        <f t="shared" si="1"/>
        <v>304.3478260869565</v>
      </c>
      <c r="M6" s="12">
        <v>5600</v>
      </c>
      <c r="N6" s="12">
        <v>40</v>
      </c>
      <c r="O6" s="24">
        <f t="shared" si="2"/>
        <v>140</v>
      </c>
      <c r="P6" s="12">
        <v>1200</v>
      </c>
      <c r="Q6" s="12">
        <v>24</v>
      </c>
      <c r="R6" s="24">
        <f t="shared" si="3"/>
        <v>50</v>
      </c>
      <c r="S6" s="25">
        <v>20000</v>
      </c>
      <c r="T6" s="25">
        <f t="shared" si="4"/>
        <v>20800</v>
      </c>
      <c r="U6" s="25">
        <f t="shared" si="5"/>
        <v>110</v>
      </c>
      <c r="V6" s="26">
        <f t="shared" si="6"/>
        <v>189.09090909090909</v>
      </c>
      <c r="W6" s="25">
        <f t="shared" si="7"/>
        <v>800</v>
      </c>
      <c r="X6" s="27">
        <f t="shared" si="8"/>
        <v>1.04</v>
      </c>
    </row>
    <row r="7" spans="2:24" ht="16.2" thickBot="1" x14ac:dyDescent="0.35">
      <c r="B7" s="4"/>
      <c r="C7" s="5" t="s">
        <v>12</v>
      </c>
      <c r="D7" s="23">
        <f>DATEVALUE("1"&amp; D3 &amp; D5)</f>
        <v>45992</v>
      </c>
      <c r="E7" s="6"/>
      <c r="G7" s="12">
        <v>4</v>
      </c>
      <c r="H7" s="22">
        <f t="shared" si="9"/>
        <v>45995</v>
      </c>
      <c r="I7" s="12" t="str">
        <f t="shared" si="0"/>
        <v>Thu</v>
      </c>
      <c r="J7" s="12">
        <v>11000</v>
      </c>
      <c r="K7" s="12">
        <v>35</v>
      </c>
      <c r="L7" s="24">
        <f t="shared" si="1"/>
        <v>314.28571428571428</v>
      </c>
      <c r="M7" s="12">
        <v>5800</v>
      </c>
      <c r="N7" s="12">
        <v>36</v>
      </c>
      <c r="O7" s="24">
        <f t="shared" si="2"/>
        <v>161.11111111111111</v>
      </c>
      <c r="P7" s="12">
        <v>2200</v>
      </c>
      <c r="Q7" s="12">
        <v>45</v>
      </c>
      <c r="R7" s="24">
        <f t="shared" si="3"/>
        <v>48.888888888888886</v>
      </c>
      <c r="S7" s="25">
        <v>20000</v>
      </c>
      <c r="T7" s="25">
        <f t="shared" si="4"/>
        <v>19000</v>
      </c>
      <c r="U7" s="25">
        <f t="shared" si="5"/>
        <v>116</v>
      </c>
      <c r="V7" s="26">
        <f t="shared" si="6"/>
        <v>163.79310344827587</v>
      </c>
      <c r="W7" s="25">
        <f t="shared" si="7"/>
        <v>-1000</v>
      </c>
      <c r="X7" s="27">
        <f t="shared" si="8"/>
        <v>0.95</v>
      </c>
    </row>
    <row r="8" spans="2:24" ht="16.2" thickBot="1" x14ac:dyDescent="0.35">
      <c r="B8" s="4"/>
      <c r="C8" s="5"/>
      <c r="D8" s="5"/>
      <c r="E8" s="6"/>
      <c r="G8" s="12">
        <v>5</v>
      </c>
      <c r="H8" s="22">
        <f t="shared" si="9"/>
        <v>45996</v>
      </c>
      <c r="I8" s="12" t="str">
        <f t="shared" si="0"/>
        <v>Fri</v>
      </c>
      <c r="J8" s="12">
        <v>10000</v>
      </c>
      <c r="K8" s="12">
        <v>50</v>
      </c>
      <c r="L8" s="24">
        <f t="shared" si="1"/>
        <v>200</v>
      </c>
      <c r="M8" s="12">
        <v>7100</v>
      </c>
      <c r="N8" s="12">
        <v>34</v>
      </c>
      <c r="O8" s="24">
        <f t="shared" si="2"/>
        <v>208.8235294117647</v>
      </c>
      <c r="P8" s="12">
        <v>2415</v>
      </c>
      <c r="Q8" s="12">
        <v>46</v>
      </c>
      <c r="R8" s="24">
        <f t="shared" si="3"/>
        <v>52.5</v>
      </c>
      <c r="S8" s="25">
        <v>20000</v>
      </c>
      <c r="T8" s="25">
        <f t="shared" si="4"/>
        <v>19515</v>
      </c>
      <c r="U8" s="25">
        <f t="shared" si="5"/>
        <v>130</v>
      </c>
      <c r="V8" s="26">
        <f t="shared" si="6"/>
        <v>150.11538461538461</v>
      </c>
      <c r="W8" s="25">
        <f t="shared" si="7"/>
        <v>-485</v>
      </c>
      <c r="X8" s="27">
        <f t="shared" si="8"/>
        <v>0.97575000000000001</v>
      </c>
    </row>
    <row r="9" spans="2:24" ht="16.2" thickBot="1" x14ac:dyDescent="0.35">
      <c r="B9" s="4"/>
      <c r="C9" s="5" t="s">
        <v>13</v>
      </c>
      <c r="D9" s="23">
        <f>EOMONTH(D7, 0)</f>
        <v>46022</v>
      </c>
      <c r="E9" s="6"/>
      <c r="G9" s="12">
        <v>6</v>
      </c>
      <c r="H9" s="22">
        <f t="shared" si="9"/>
        <v>45997</v>
      </c>
      <c r="I9" s="12" t="str">
        <f t="shared" si="0"/>
        <v>Sat</v>
      </c>
      <c r="J9" s="12">
        <v>16000</v>
      </c>
      <c r="K9" s="12">
        <v>40</v>
      </c>
      <c r="L9" s="24">
        <f t="shared" si="1"/>
        <v>400</v>
      </c>
      <c r="M9" s="12">
        <v>6500</v>
      </c>
      <c r="N9" s="12">
        <v>24</v>
      </c>
      <c r="O9" s="24">
        <f t="shared" si="2"/>
        <v>270.83333333333331</v>
      </c>
      <c r="P9" s="12">
        <v>2561</v>
      </c>
      <c r="Q9" s="12">
        <v>35</v>
      </c>
      <c r="R9" s="24">
        <f t="shared" si="3"/>
        <v>73.171428571428578</v>
      </c>
      <c r="S9" s="25">
        <v>20000</v>
      </c>
      <c r="T9" s="25">
        <f t="shared" si="4"/>
        <v>25061</v>
      </c>
      <c r="U9" s="25">
        <f t="shared" si="5"/>
        <v>99</v>
      </c>
      <c r="V9" s="26">
        <f t="shared" si="6"/>
        <v>253.14141414141415</v>
      </c>
      <c r="W9" s="25">
        <f t="shared" si="7"/>
        <v>5061</v>
      </c>
      <c r="X9" s="27">
        <f t="shared" si="8"/>
        <v>1.25305</v>
      </c>
    </row>
    <row r="10" spans="2:24" ht="16.2" thickBot="1" x14ac:dyDescent="0.35">
      <c r="B10" s="4"/>
      <c r="C10" s="5"/>
      <c r="D10" s="5"/>
      <c r="E10" s="6"/>
      <c r="G10" s="12">
        <v>7</v>
      </c>
      <c r="H10" s="22">
        <f t="shared" si="9"/>
        <v>45998</v>
      </c>
      <c r="I10" s="12" t="str">
        <f t="shared" si="0"/>
        <v>Sun</v>
      </c>
      <c r="J10" s="12">
        <v>12000</v>
      </c>
      <c r="K10" s="12">
        <v>36</v>
      </c>
      <c r="L10" s="24">
        <f t="shared" si="1"/>
        <v>333.33333333333331</v>
      </c>
      <c r="M10" s="12">
        <v>6200</v>
      </c>
      <c r="N10" s="12">
        <v>45</v>
      </c>
      <c r="O10" s="24">
        <f t="shared" si="2"/>
        <v>137.77777777777777</v>
      </c>
      <c r="P10" s="12">
        <v>3214</v>
      </c>
      <c r="Q10" s="12">
        <v>50</v>
      </c>
      <c r="R10" s="24">
        <f t="shared" si="3"/>
        <v>64.28</v>
      </c>
      <c r="S10" s="25">
        <v>20000</v>
      </c>
      <c r="T10" s="25">
        <f t="shared" si="4"/>
        <v>21414</v>
      </c>
      <c r="U10" s="25">
        <f t="shared" si="5"/>
        <v>131</v>
      </c>
      <c r="V10" s="26">
        <f t="shared" si="6"/>
        <v>163.46564885496184</v>
      </c>
      <c r="W10" s="25">
        <f t="shared" si="7"/>
        <v>1414</v>
      </c>
      <c r="X10" s="27">
        <f t="shared" si="8"/>
        <v>1.0707</v>
      </c>
    </row>
    <row r="11" spans="2:24" ht="16.2" thickBot="1" x14ac:dyDescent="0.35">
      <c r="B11" s="4"/>
      <c r="C11" s="5" t="s">
        <v>14</v>
      </c>
      <c r="D11" s="19">
        <f>COUNT(H4:H34)</f>
        <v>31</v>
      </c>
      <c r="E11" s="6"/>
      <c r="G11" s="12">
        <v>8</v>
      </c>
      <c r="H11" s="22">
        <f t="shared" si="9"/>
        <v>45999</v>
      </c>
      <c r="I11" s="12" t="str">
        <f t="shared" si="0"/>
        <v>Mon</v>
      </c>
      <c r="J11" s="12">
        <v>11000</v>
      </c>
      <c r="K11" s="12">
        <v>34</v>
      </c>
      <c r="L11" s="24">
        <f t="shared" si="1"/>
        <v>323.52941176470586</v>
      </c>
      <c r="M11" s="12">
        <v>4500</v>
      </c>
      <c r="N11" s="12">
        <v>46</v>
      </c>
      <c r="O11" s="24">
        <f t="shared" si="2"/>
        <v>97.826086956521735</v>
      </c>
      <c r="P11" s="12">
        <v>2315</v>
      </c>
      <c r="Q11" s="12">
        <v>40</v>
      </c>
      <c r="R11" s="24">
        <f t="shared" si="3"/>
        <v>57.875</v>
      </c>
      <c r="S11" s="25">
        <v>20000</v>
      </c>
      <c r="T11" s="25">
        <f t="shared" si="4"/>
        <v>17815</v>
      </c>
      <c r="U11" s="25">
        <f t="shared" si="5"/>
        <v>120</v>
      </c>
      <c r="V11" s="26">
        <f t="shared" si="6"/>
        <v>148.45833333333334</v>
      </c>
      <c r="W11" s="25">
        <f t="shared" si="7"/>
        <v>-2185</v>
      </c>
      <c r="X11" s="27">
        <f t="shared" si="8"/>
        <v>0.89075000000000004</v>
      </c>
    </row>
    <row r="12" spans="2:24" ht="16.2" thickBot="1" x14ac:dyDescent="0.35">
      <c r="B12" s="4"/>
      <c r="C12" s="5"/>
      <c r="D12" s="28"/>
      <c r="E12" s="6"/>
      <c r="G12" s="12">
        <v>9</v>
      </c>
      <c r="H12" s="22">
        <f t="shared" si="9"/>
        <v>46000</v>
      </c>
      <c r="I12" s="12" t="str">
        <f t="shared" si="0"/>
        <v>Tue</v>
      </c>
      <c r="J12" s="12">
        <v>15000</v>
      </c>
      <c r="K12" s="12">
        <v>24</v>
      </c>
      <c r="L12" s="24">
        <f t="shared" si="1"/>
        <v>625</v>
      </c>
      <c r="M12" s="12">
        <v>7200</v>
      </c>
      <c r="N12" s="12">
        <v>35</v>
      </c>
      <c r="O12" s="24">
        <f t="shared" si="2"/>
        <v>205.71428571428572</v>
      </c>
      <c r="P12" s="12">
        <v>3524</v>
      </c>
      <c r="Q12" s="12">
        <v>36</v>
      </c>
      <c r="R12" s="24">
        <f t="shared" si="3"/>
        <v>97.888888888888886</v>
      </c>
      <c r="S12" s="25">
        <v>20000</v>
      </c>
      <c r="T12" s="25">
        <f t="shared" si="4"/>
        <v>25724</v>
      </c>
      <c r="U12" s="25">
        <f t="shared" si="5"/>
        <v>95</v>
      </c>
      <c r="V12" s="26">
        <f t="shared" si="6"/>
        <v>270.77894736842103</v>
      </c>
      <c r="W12" s="25">
        <f t="shared" si="7"/>
        <v>5724</v>
      </c>
      <c r="X12" s="27">
        <f t="shared" si="8"/>
        <v>1.2862</v>
      </c>
    </row>
    <row r="13" spans="2:24" ht="16.2" thickBot="1" x14ac:dyDescent="0.35">
      <c r="B13" s="4"/>
      <c r="C13" s="5" t="s">
        <v>15</v>
      </c>
      <c r="D13" s="19">
        <f>COUNTIF(I4:I34,"Sat")</f>
        <v>4</v>
      </c>
      <c r="E13" s="6"/>
      <c r="G13" s="12">
        <v>10</v>
      </c>
      <c r="H13" s="22">
        <f t="shared" si="9"/>
        <v>46001</v>
      </c>
      <c r="I13" s="12" t="str">
        <f t="shared" si="0"/>
        <v>Wed</v>
      </c>
      <c r="J13" s="12">
        <v>12000</v>
      </c>
      <c r="K13" s="12">
        <v>45</v>
      </c>
      <c r="L13" s="24">
        <f t="shared" si="1"/>
        <v>266.66666666666669</v>
      </c>
      <c r="M13" s="12">
        <v>6900</v>
      </c>
      <c r="N13" s="12">
        <v>50</v>
      </c>
      <c r="O13" s="24">
        <f t="shared" si="2"/>
        <v>138</v>
      </c>
      <c r="P13" s="12">
        <v>3621</v>
      </c>
      <c r="Q13" s="12">
        <v>34</v>
      </c>
      <c r="R13" s="24">
        <f t="shared" si="3"/>
        <v>106.5</v>
      </c>
      <c r="S13" s="25">
        <v>20000</v>
      </c>
      <c r="T13" s="25">
        <f t="shared" si="4"/>
        <v>22521</v>
      </c>
      <c r="U13" s="25">
        <f t="shared" si="5"/>
        <v>129</v>
      </c>
      <c r="V13" s="26">
        <f t="shared" si="6"/>
        <v>174.58139534883722</v>
      </c>
      <c r="W13" s="25">
        <f t="shared" si="7"/>
        <v>2521</v>
      </c>
      <c r="X13" s="27">
        <f t="shared" si="8"/>
        <v>1.12605</v>
      </c>
    </row>
    <row r="14" spans="2:24" ht="16.2" thickBot="1" x14ac:dyDescent="0.35">
      <c r="B14" s="4"/>
      <c r="C14" s="5" t="s">
        <v>16</v>
      </c>
      <c r="D14" s="19">
        <f>COUNTIF(I4:I34,"Sun")</f>
        <v>4</v>
      </c>
      <c r="E14" s="6"/>
      <c r="G14" s="12">
        <v>11</v>
      </c>
      <c r="H14" s="22">
        <f t="shared" si="9"/>
        <v>46002</v>
      </c>
      <c r="I14" s="12" t="str">
        <f t="shared" si="0"/>
        <v>Thu</v>
      </c>
      <c r="J14" s="12">
        <v>14000</v>
      </c>
      <c r="K14" s="12">
        <v>46</v>
      </c>
      <c r="L14" s="24">
        <f t="shared" si="1"/>
        <v>304.3478260869565</v>
      </c>
      <c r="M14" s="12">
        <v>5900</v>
      </c>
      <c r="N14" s="12">
        <v>40</v>
      </c>
      <c r="O14" s="24">
        <f t="shared" si="2"/>
        <v>147.5</v>
      </c>
      <c r="P14" s="12">
        <v>1200</v>
      </c>
      <c r="Q14" s="12">
        <v>45</v>
      </c>
      <c r="R14" s="24">
        <f t="shared" si="3"/>
        <v>26.666666666666668</v>
      </c>
      <c r="S14" s="25">
        <v>20000</v>
      </c>
      <c r="T14" s="25">
        <f t="shared" si="4"/>
        <v>21100</v>
      </c>
      <c r="U14" s="25">
        <f t="shared" si="5"/>
        <v>131</v>
      </c>
      <c r="V14" s="26">
        <f t="shared" si="6"/>
        <v>161.06870229007635</v>
      </c>
      <c r="W14" s="25">
        <f t="shared" si="7"/>
        <v>1100</v>
      </c>
      <c r="X14" s="27">
        <f t="shared" si="8"/>
        <v>1.0549999999999999</v>
      </c>
    </row>
    <row r="15" spans="2:24" ht="16.2" thickBot="1" x14ac:dyDescent="0.35">
      <c r="B15" s="4"/>
      <c r="C15" s="5"/>
      <c r="D15" s="28"/>
      <c r="E15" s="6"/>
      <c r="G15" s="12">
        <v>12</v>
      </c>
      <c r="H15" s="22">
        <f t="shared" si="9"/>
        <v>46003</v>
      </c>
      <c r="I15" s="12" t="str">
        <f t="shared" si="0"/>
        <v>Fri</v>
      </c>
      <c r="J15" s="12">
        <v>11000</v>
      </c>
      <c r="K15" s="12">
        <v>35</v>
      </c>
      <c r="L15" s="24">
        <f t="shared" si="1"/>
        <v>314.28571428571428</v>
      </c>
      <c r="M15" s="12">
        <v>7500</v>
      </c>
      <c r="N15" s="12">
        <v>36</v>
      </c>
      <c r="O15" s="24">
        <f t="shared" si="2"/>
        <v>208.33333333333334</v>
      </c>
      <c r="P15" s="12">
        <v>850</v>
      </c>
      <c r="Q15" s="12">
        <v>46</v>
      </c>
      <c r="R15" s="24">
        <f t="shared" si="3"/>
        <v>18.478260869565219</v>
      </c>
      <c r="S15" s="25">
        <v>20000</v>
      </c>
      <c r="T15" s="25">
        <f t="shared" si="4"/>
        <v>19350</v>
      </c>
      <c r="U15" s="25">
        <f t="shared" si="5"/>
        <v>117</v>
      </c>
      <c r="V15" s="26">
        <f t="shared" si="6"/>
        <v>165.38461538461539</v>
      </c>
      <c r="W15" s="25">
        <f t="shared" si="7"/>
        <v>-650</v>
      </c>
      <c r="X15" s="27">
        <f t="shared" si="8"/>
        <v>0.96750000000000003</v>
      </c>
    </row>
    <row r="16" spans="2:24" ht="16.2" thickBot="1" x14ac:dyDescent="0.35">
      <c r="B16" s="4"/>
      <c r="C16" s="5" t="s">
        <v>17</v>
      </c>
      <c r="D16" s="19">
        <f>MAX(T4:T34)</f>
        <v>28000</v>
      </c>
      <c r="E16" s="6"/>
      <c r="G16" s="12">
        <v>13</v>
      </c>
      <c r="H16" s="22">
        <f t="shared" si="9"/>
        <v>46004</v>
      </c>
      <c r="I16" s="12" t="str">
        <f t="shared" si="0"/>
        <v>Sat</v>
      </c>
      <c r="J16" s="12">
        <v>10000</v>
      </c>
      <c r="K16" s="12">
        <v>50</v>
      </c>
      <c r="L16" s="24">
        <f t="shared" si="1"/>
        <v>200</v>
      </c>
      <c r="M16" s="12">
        <v>5800</v>
      </c>
      <c r="N16" s="12">
        <v>34</v>
      </c>
      <c r="O16" s="24">
        <f t="shared" si="2"/>
        <v>170.58823529411765</v>
      </c>
      <c r="P16" s="12">
        <v>1421</v>
      </c>
      <c r="Q16" s="12">
        <v>35</v>
      </c>
      <c r="R16" s="24">
        <f t="shared" si="3"/>
        <v>40.6</v>
      </c>
      <c r="S16" s="25">
        <v>20000</v>
      </c>
      <c r="T16" s="25">
        <f t="shared" si="4"/>
        <v>17221</v>
      </c>
      <c r="U16" s="25">
        <f t="shared" si="5"/>
        <v>119</v>
      </c>
      <c r="V16" s="26">
        <f t="shared" si="6"/>
        <v>144.71428571428572</v>
      </c>
      <c r="W16" s="25">
        <f t="shared" si="7"/>
        <v>-2779</v>
      </c>
      <c r="X16" s="27">
        <f t="shared" si="8"/>
        <v>0.86104999999999998</v>
      </c>
    </row>
    <row r="17" spans="2:24" ht="16.2" thickBot="1" x14ac:dyDescent="0.35">
      <c r="B17" s="4"/>
      <c r="C17" s="5"/>
      <c r="D17" s="28"/>
      <c r="E17" s="6"/>
      <c r="G17" s="12">
        <v>14</v>
      </c>
      <c r="H17" s="22">
        <f t="shared" si="9"/>
        <v>46005</v>
      </c>
      <c r="I17" s="12" t="str">
        <f t="shared" si="0"/>
        <v>Sun</v>
      </c>
      <c r="J17" s="12">
        <v>16000</v>
      </c>
      <c r="K17" s="12">
        <v>40</v>
      </c>
      <c r="L17" s="24">
        <f t="shared" si="1"/>
        <v>400</v>
      </c>
      <c r="M17" s="12">
        <v>4500</v>
      </c>
      <c r="N17" s="12">
        <v>45</v>
      </c>
      <c r="O17" s="24">
        <f t="shared" si="2"/>
        <v>100</v>
      </c>
      <c r="P17" s="12">
        <v>1562</v>
      </c>
      <c r="Q17" s="12">
        <v>50</v>
      </c>
      <c r="R17" s="24">
        <f t="shared" si="3"/>
        <v>31.24</v>
      </c>
      <c r="S17" s="25">
        <v>20000</v>
      </c>
      <c r="T17" s="25">
        <f t="shared" si="4"/>
        <v>22062</v>
      </c>
      <c r="U17" s="25">
        <f t="shared" si="5"/>
        <v>135</v>
      </c>
      <c r="V17" s="26">
        <f t="shared" si="6"/>
        <v>163.42222222222222</v>
      </c>
      <c r="W17" s="25">
        <f t="shared" si="7"/>
        <v>2062</v>
      </c>
      <c r="X17" s="27">
        <f t="shared" si="8"/>
        <v>1.1031</v>
      </c>
    </row>
    <row r="18" spans="2:24" ht="16.2" thickBot="1" x14ac:dyDescent="0.35">
      <c r="B18" s="4"/>
      <c r="C18" s="5" t="s">
        <v>18</v>
      </c>
      <c r="D18" s="19">
        <f>MIN(T4:T34)</f>
        <v>16300</v>
      </c>
      <c r="E18" s="6"/>
      <c r="G18" s="12">
        <v>15</v>
      </c>
      <c r="H18" s="22">
        <f t="shared" si="9"/>
        <v>46006</v>
      </c>
      <c r="I18" s="12" t="str">
        <f t="shared" si="0"/>
        <v>Mon</v>
      </c>
      <c r="J18" s="12">
        <v>12000</v>
      </c>
      <c r="K18" s="12">
        <v>36</v>
      </c>
      <c r="L18" s="24">
        <f t="shared" si="1"/>
        <v>333.33333333333331</v>
      </c>
      <c r="M18" s="12">
        <v>4900</v>
      </c>
      <c r="N18" s="12">
        <v>46</v>
      </c>
      <c r="O18" s="24">
        <f t="shared" si="2"/>
        <v>106.52173913043478</v>
      </c>
      <c r="P18" s="12">
        <v>1900</v>
      </c>
      <c r="Q18" s="12">
        <v>40</v>
      </c>
      <c r="R18" s="24">
        <f t="shared" si="3"/>
        <v>47.5</v>
      </c>
      <c r="S18" s="25">
        <v>20000</v>
      </c>
      <c r="T18" s="25">
        <f t="shared" si="4"/>
        <v>18800</v>
      </c>
      <c r="U18" s="25">
        <f t="shared" si="5"/>
        <v>122</v>
      </c>
      <c r="V18" s="26">
        <f t="shared" si="6"/>
        <v>154.09836065573771</v>
      </c>
      <c r="W18" s="25">
        <f t="shared" si="7"/>
        <v>-1200</v>
      </c>
      <c r="X18" s="27">
        <f t="shared" si="8"/>
        <v>0.94</v>
      </c>
    </row>
    <row r="19" spans="2:24" ht="16.2" thickBot="1" x14ac:dyDescent="0.35">
      <c r="B19" s="4"/>
      <c r="C19" s="5"/>
      <c r="D19" s="28"/>
      <c r="E19" s="6"/>
      <c r="G19" s="12">
        <v>16</v>
      </c>
      <c r="H19" s="22">
        <f t="shared" si="9"/>
        <v>46007</v>
      </c>
      <c r="I19" s="12" t="str">
        <f t="shared" si="0"/>
        <v>Tue</v>
      </c>
      <c r="J19" s="12">
        <v>11000</v>
      </c>
      <c r="K19" s="12">
        <v>34</v>
      </c>
      <c r="L19" s="24">
        <f t="shared" si="1"/>
        <v>323.52941176470586</v>
      </c>
      <c r="M19" s="12">
        <v>3200</v>
      </c>
      <c r="N19" s="12">
        <v>35</v>
      </c>
      <c r="O19" s="24">
        <f t="shared" si="2"/>
        <v>91.428571428571431</v>
      </c>
      <c r="P19" s="12">
        <v>2100</v>
      </c>
      <c r="Q19" s="12">
        <v>36</v>
      </c>
      <c r="R19" s="24">
        <f t="shared" si="3"/>
        <v>58.333333333333336</v>
      </c>
      <c r="S19" s="25">
        <v>20000</v>
      </c>
      <c r="T19" s="25">
        <f t="shared" si="4"/>
        <v>16300</v>
      </c>
      <c r="U19" s="25">
        <f t="shared" si="5"/>
        <v>105</v>
      </c>
      <c r="V19" s="26">
        <f t="shared" si="6"/>
        <v>155.23809523809524</v>
      </c>
      <c r="W19" s="25">
        <f t="shared" si="7"/>
        <v>-3700</v>
      </c>
      <c r="X19" s="27">
        <f t="shared" si="8"/>
        <v>0.81499999999999995</v>
      </c>
    </row>
    <row r="20" spans="2:24" ht="16.2" thickBot="1" x14ac:dyDescent="0.35">
      <c r="B20" s="4"/>
      <c r="C20" s="5" t="s">
        <v>19</v>
      </c>
      <c r="D20" s="19" t="str">
        <f>IF(T35&gt;S35,"Yes","No")</f>
        <v>Yes</v>
      </c>
      <c r="E20" s="6"/>
      <c r="G20" s="12">
        <v>17</v>
      </c>
      <c r="H20" s="22">
        <f t="shared" si="9"/>
        <v>46008</v>
      </c>
      <c r="I20" s="12" t="str">
        <f t="shared" si="0"/>
        <v>Wed</v>
      </c>
      <c r="J20" s="12">
        <v>15000</v>
      </c>
      <c r="K20" s="12">
        <v>24</v>
      </c>
      <c r="L20" s="24">
        <f t="shared" si="1"/>
        <v>625</v>
      </c>
      <c r="M20" s="12">
        <v>4600</v>
      </c>
      <c r="N20" s="12">
        <v>50</v>
      </c>
      <c r="O20" s="24">
        <f t="shared" si="2"/>
        <v>92</v>
      </c>
      <c r="P20" s="12">
        <v>2135</v>
      </c>
      <c r="Q20" s="12">
        <v>34</v>
      </c>
      <c r="R20" s="24">
        <f t="shared" si="3"/>
        <v>62.794117647058826</v>
      </c>
      <c r="S20" s="25">
        <v>20000</v>
      </c>
      <c r="T20" s="25">
        <f t="shared" si="4"/>
        <v>21735</v>
      </c>
      <c r="U20" s="25">
        <f t="shared" si="5"/>
        <v>108</v>
      </c>
      <c r="V20" s="26">
        <f t="shared" si="6"/>
        <v>201.25</v>
      </c>
      <c r="W20" s="25">
        <f t="shared" si="7"/>
        <v>1735</v>
      </c>
      <c r="X20" s="27">
        <f t="shared" si="8"/>
        <v>1.0867500000000001</v>
      </c>
    </row>
    <row r="21" spans="2:24" ht="16.2" thickBot="1" x14ac:dyDescent="0.35">
      <c r="B21" s="4"/>
      <c r="C21" s="5"/>
      <c r="D21" s="28"/>
      <c r="E21" s="6"/>
      <c r="G21" s="12">
        <v>18</v>
      </c>
      <c r="H21" s="22">
        <f t="shared" si="9"/>
        <v>46009</v>
      </c>
      <c r="I21" s="12" t="str">
        <f t="shared" si="0"/>
        <v>Thu</v>
      </c>
      <c r="J21" s="12">
        <v>12000</v>
      </c>
      <c r="K21" s="12">
        <v>45</v>
      </c>
      <c r="L21" s="24">
        <f t="shared" si="1"/>
        <v>266.66666666666669</v>
      </c>
      <c r="M21" s="12">
        <v>5600</v>
      </c>
      <c r="N21" s="12">
        <v>40</v>
      </c>
      <c r="O21" s="24">
        <f t="shared" si="2"/>
        <v>140</v>
      </c>
      <c r="P21" s="12">
        <v>2362</v>
      </c>
      <c r="Q21" s="12">
        <v>24</v>
      </c>
      <c r="R21" s="24">
        <f t="shared" si="3"/>
        <v>98.416666666666671</v>
      </c>
      <c r="S21" s="25">
        <v>20000</v>
      </c>
      <c r="T21" s="25">
        <f t="shared" si="4"/>
        <v>19962</v>
      </c>
      <c r="U21" s="25">
        <f t="shared" si="5"/>
        <v>109</v>
      </c>
      <c r="V21" s="26">
        <f t="shared" si="6"/>
        <v>183.13761467889907</v>
      </c>
      <c r="W21" s="25">
        <f t="shared" si="7"/>
        <v>-38</v>
      </c>
      <c r="X21" s="27">
        <f t="shared" si="8"/>
        <v>0.99809999999999999</v>
      </c>
    </row>
    <row r="22" spans="2:24" ht="16.2" thickBot="1" x14ac:dyDescent="0.35">
      <c r="B22" s="4"/>
      <c r="C22" s="5" t="s">
        <v>20</v>
      </c>
      <c r="D22" s="19">
        <f>T35</f>
        <v>652247</v>
      </c>
      <c r="E22" s="6"/>
      <c r="G22" s="12">
        <v>19</v>
      </c>
      <c r="H22" s="22">
        <f t="shared" si="9"/>
        <v>46010</v>
      </c>
      <c r="I22" s="12" t="str">
        <f t="shared" si="0"/>
        <v>Fri</v>
      </c>
      <c r="J22" s="12">
        <v>14000</v>
      </c>
      <c r="K22" s="12">
        <v>46</v>
      </c>
      <c r="L22" s="24">
        <f t="shared" si="1"/>
        <v>304.3478260869565</v>
      </c>
      <c r="M22" s="12">
        <v>4500</v>
      </c>
      <c r="N22" s="12">
        <v>36</v>
      </c>
      <c r="O22" s="24">
        <f t="shared" si="2"/>
        <v>125</v>
      </c>
      <c r="P22" s="12">
        <v>3521</v>
      </c>
      <c r="Q22" s="12">
        <v>45</v>
      </c>
      <c r="R22" s="24">
        <f t="shared" si="3"/>
        <v>78.24444444444444</v>
      </c>
      <c r="S22" s="25">
        <v>20000</v>
      </c>
      <c r="T22" s="25">
        <f t="shared" si="4"/>
        <v>22021</v>
      </c>
      <c r="U22" s="25">
        <f t="shared" si="5"/>
        <v>127</v>
      </c>
      <c r="V22" s="26">
        <f t="shared" si="6"/>
        <v>173.39370078740157</v>
      </c>
      <c r="W22" s="25">
        <f t="shared" si="7"/>
        <v>2021</v>
      </c>
      <c r="X22" s="27">
        <f t="shared" si="8"/>
        <v>1.1010500000000001</v>
      </c>
    </row>
    <row r="23" spans="2:24" ht="16.2" thickBot="1" x14ac:dyDescent="0.35">
      <c r="B23" s="4"/>
      <c r="C23" s="5"/>
      <c r="D23" s="28"/>
      <c r="E23" s="6"/>
      <c r="G23" s="12">
        <v>20</v>
      </c>
      <c r="H23" s="22">
        <f t="shared" si="9"/>
        <v>46011</v>
      </c>
      <c r="I23" s="12" t="str">
        <f t="shared" si="0"/>
        <v>Sat</v>
      </c>
      <c r="J23" s="12">
        <v>11000</v>
      </c>
      <c r="K23" s="12">
        <v>35</v>
      </c>
      <c r="L23" s="24">
        <f t="shared" si="1"/>
        <v>314.28571428571428</v>
      </c>
      <c r="M23" s="12">
        <v>7500</v>
      </c>
      <c r="N23" s="12">
        <v>34</v>
      </c>
      <c r="O23" s="24">
        <f t="shared" si="2"/>
        <v>220.58823529411765</v>
      </c>
      <c r="P23" s="12">
        <v>3254</v>
      </c>
      <c r="Q23" s="12">
        <v>46</v>
      </c>
      <c r="R23" s="24">
        <f t="shared" si="3"/>
        <v>70.739130434782609</v>
      </c>
      <c r="S23" s="25">
        <v>20000</v>
      </c>
      <c r="T23" s="25">
        <f t="shared" si="4"/>
        <v>21754</v>
      </c>
      <c r="U23" s="25">
        <f t="shared" si="5"/>
        <v>115</v>
      </c>
      <c r="V23" s="26">
        <f t="shared" si="6"/>
        <v>189.16521739130434</v>
      </c>
      <c r="W23" s="25">
        <f t="shared" si="7"/>
        <v>1754</v>
      </c>
      <c r="X23" s="27">
        <f t="shared" si="8"/>
        <v>1.0876999999999999</v>
      </c>
    </row>
    <row r="24" spans="2:24" ht="16.2" thickBot="1" x14ac:dyDescent="0.35">
      <c r="B24" s="4"/>
      <c r="C24" s="5" t="s">
        <v>21</v>
      </c>
      <c r="D24" s="37">
        <f>AVERAGE(T4:T34)</f>
        <v>21040.225806451614</v>
      </c>
      <c r="E24" s="6"/>
      <c r="G24" s="12">
        <v>21</v>
      </c>
      <c r="H24" s="22">
        <f t="shared" si="9"/>
        <v>46012</v>
      </c>
      <c r="I24" s="12" t="str">
        <f t="shared" si="0"/>
        <v>Sun</v>
      </c>
      <c r="J24" s="12">
        <v>10000</v>
      </c>
      <c r="K24" s="12">
        <v>50</v>
      </c>
      <c r="L24" s="24">
        <f t="shared" si="1"/>
        <v>200</v>
      </c>
      <c r="M24" s="12">
        <v>5900</v>
      </c>
      <c r="N24" s="12">
        <v>24</v>
      </c>
      <c r="O24" s="24">
        <f t="shared" si="2"/>
        <v>245.83333333333334</v>
      </c>
      <c r="P24" s="12">
        <v>2651</v>
      </c>
      <c r="Q24" s="12">
        <v>35</v>
      </c>
      <c r="R24" s="24">
        <f t="shared" si="3"/>
        <v>75.742857142857147</v>
      </c>
      <c r="S24" s="25">
        <v>20000</v>
      </c>
      <c r="T24" s="25">
        <f t="shared" si="4"/>
        <v>18551</v>
      </c>
      <c r="U24" s="25">
        <f t="shared" si="5"/>
        <v>109</v>
      </c>
      <c r="V24" s="26">
        <f t="shared" si="6"/>
        <v>170.19266055045873</v>
      </c>
      <c r="W24" s="25">
        <f t="shared" si="7"/>
        <v>-1449</v>
      </c>
      <c r="X24" s="27">
        <f t="shared" si="8"/>
        <v>0.92754999999999999</v>
      </c>
    </row>
    <row r="25" spans="2:24" ht="16.2" thickBot="1" x14ac:dyDescent="0.35">
      <c r="B25" s="4"/>
      <c r="C25" s="5"/>
      <c r="D25" s="28"/>
      <c r="E25" s="6"/>
      <c r="G25" s="12">
        <v>22</v>
      </c>
      <c r="H25" s="22">
        <f t="shared" si="9"/>
        <v>46013</v>
      </c>
      <c r="I25" s="12" t="str">
        <f t="shared" si="0"/>
        <v>Mon</v>
      </c>
      <c r="J25" s="12">
        <v>16000</v>
      </c>
      <c r="K25" s="12">
        <v>40</v>
      </c>
      <c r="L25" s="24">
        <f t="shared" si="1"/>
        <v>400</v>
      </c>
      <c r="M25" s="12">
        <v>6200</v>
      </c>
      <c r="N25" s="12">
        <v>45</v>
      </c>
      <c r="O25" s="24">
        <f t="shared" si="2"/>
        <v>137.77777777777777</v>
      </c>
      <c r="P25" s="12">
        <v>2548</v>
      </c>
      <c r="Q25" s="12">
        <v>50</v>
      </c>
      <c r="R25" s="24">
        <f t="shared" si="3"/>
        <v>50.96</v>
      </c>
      <c r="S25" s="25">
        <v>20000</v>
      </c>
      <c r="T25" s="25">
        <f t="shared" si="4"/>
        <v>24748</v>
      </c>
      <c r="U25" s="25">
        <f t="shared" si="5"/>
        <v>135</v>
      </c>
      <c r="V25" s="26">
        <f t="shared" si="6"/>
        <v>183.31851851851852</v>
      </c>
      <c r="W25" s="25">
        <f t="shared" si="7"/>
        <v>4748</v>
      </c>
      <c r="X25" s="27">
        <f t="shared" si="8"/>
        <v>1.2374000000000001</v>
      </c>
    </row>
    <row r="26" spans="2:24" ht="16.2" thickBot="1" x14ac:dyDescent="0.35">
      <c r="B26" s="4"/>
      <c r="C26" s="5" t="s">
        <v>22</v>
      </c>
      <c r="D26" s="19">
        <f>J35</f>
        <v>398000</v>
      </c>
      <c r="E26" s="6"/>
      <c r="G26" s="12">
        <v>23</v>
      </c>
      <c r="H26" s="22">
        <f t="shared" si="9"/>
        <v>46014</v>
      </c>
      <c r="I26" s="12" t="str">
        <f t="shared" si="0"/>
        <v>Tue</v>
      </c>
      <c r="J26" s="12">
        <v>12000</v>
      </c>
      <c r="K26" s="12">
        <v>36</v>
      </c>
      <c r="L26" s="24">
        <f t="shared" si="1"/>
        <v>333.33333333333331</v>
      </c>
      <c r="M26" s="12">
        <v>6321</v>
      </c>
      <c r="N26" s="12">
        <v>46</v>
      </c>
      <c r="O26" s="24">
        <f t="shared" si="2"/>
        <v>137.41304347826087</v>
      </c>
      <c r="P26" s="12">
        <v>950</v>
      </c>
      <c r="Q26" s="12">
        <v>40</v>
      </c>
      <c r="R26" s="24">
        <f t="shared" si="3"/>
        <v>23.75</v>
      </c>
      <c r="S26" s="25">
        <v>20000</v>
      </c>
      <c r="T26" s="25">
        <f t="shared" si="4"/>
        <v>19271</v>
      </c>
      <c r="U26" s="25">
        <f t="shared" si="5"/>
        <v>122</v>
      </c>
      <c r="V26" s="26">
        <f t="shared" si="6"/>
        <v>157.95901639344262</v>
      </c>
      <c r="W26" s="25">
        <f t="shared" si="7"/>
        <v>-729</v>
      </c>
      <c r="X26" s="27">
        <f t="shared" si="8"/>
        <v>0.96355000000000002</v>
      </c>
    </row>
    <row r="27" spans="2:24" ht="16.2" thickBot="1" x14ac:dyDescent="0.35">
      <c r="B27" s="4"/>
      <c r="C27" s="5" t="s">
        <v>23</v>
      </c>
      <c r="D27" s="19">
        <f>M35</f>
        <v>180483</v>
      </c>
      <c r="E27" s="6"/>
      <c r="G27" s="12">
        <v>24</v>
      </c>
      <c r="H27" s="22">
        <f t="shared" si="9"/>
        <v>46015</v>
      </c>
      <c r="I27" s="12" t="str">
        <f t="shared" si="0"/>
        <v>Wed</v>
      </c>
      <c r="J27" s="12">
        <v>11000</v>
      </c>
      <c r="K27" s="12">
        <v>34</v>
      </c>
      <c r="L27" s="24">
        <f t="shared" si="1"/>
        <v>323.52941176470586</v>
      </c>
      <c r="M27" s="12">
        <v>5621</v>
      </c>
      <c r="N27" s="12">
        <v>35</v>
      </c>
      <c r="O27" s="24">
        <f t="shared" si="2"/>
        <v>160.6</v>
      </c>
      <c r="P27" s="12">
        <v>1254</v>
      </c>
      <c r="Q27" s="12">
        <v>36</v>
      </c>
      <c r="R27" s="24">
        <f t="shared" si="3"/>
        <v>34.833333333333336</v>
      </c>
      <c r="S27" s="25">
        <v>20000</v>
      </c>
      <c r="T27" s="25">
        <f t="shared" si="4"/>
        <v>17875</v>
      </c>
      <c r="U27" s="25">
        <f t="shared" si="5"/>
        <v>105</v>
      </c>
      <c r="V27" s="26">
        <f t="shared" si="6"/>
        <v>170.23809523809524</v>
      </c>
      <c r="W27" s="25">
        <f t="shared" si="7"/>
        <v>-2125</v>
      </c>
      <c r="X27" s="27">
        <f t="shared" si="8"/>
        <v>0.89375000000000004</v>
      </c>
    </row>
    <row r="28" spans="2:24" ht="16.2" thickBot="1" x14ac:dyDescent="0.35">
      <c r="B28" s="4"/>
      <c r="C28" s="5" t="s">
        <v>8</v>
      </c>
      <c r="D28" s="19">
        <f>P35</f>
        <v>73764</v>
      </c>
      <c r="E28" s="6"/>
      <c r="G28" s="12">
        <v>25</v>
      </c>
      <c r="H28" s="22">
        <f t="shared" si="9"/>
        <v>46016</v>
      </c>
      <c r="I28" s="12" t="str">
        <f t="shared" si="0"/>
        <v>Thu</v>
      </c>
      <c r="J28" s="12">
        <v>11000</v>
      </c>
      <c r="K28" s="12">
        <v>45</v>
      </c>
      <c r="L28" s="24">
        <f t="shared" si="1"/>
        <v>244.44444444444446</v>
      </c>
      <c r="M28" s="12">
        <v>4856</v>
      </c>
      <c r="N28" s="12">
        <v>50</v>
      </c>
      <c r="O28" s="24">
        <f t="shared" si="2"/>
        <v>97.12</v>
      </c>
      <c r="P28" s="12">
        <v>1456</v>
      </c>
      <c r="Q28" s="12">
        <v>34</v>
      </c>
      <c r="R28" s="24">
        <f t="shared" si="3"/>
        <v>42.823529411764703</v>
      </c>
      <c r="S28" s="25">
        <v>20000</v>
      </c>
      <c r="T28" s="25">
        <f t="shared" si="4"/>
        <v>17312</v>
      </c>
      <c r="U28" s="25">
        <f t="shared" si="5"/>
        <v>129</v>
      </c>
      <c r="V28" s="26">
        <f t="shared" si="6"/>
        <v>134.20155038759691</v>
      </c>
      <c r="W28" s="25">
        <f t="shared" si="7"/>
        <v>-2688</v>
      </c>
      <c r="X28" s="27">
        <f t="shared" si="8"/>
        <v>0.86560000000000004</v>
      </c>
    </row>
    <row r="29" spans="2:24" ht="16.2" thickBot="1" x14ac:dyDescent="0.35">
      <c r="B29" s="4"/>
      <c r="C29" s="5"/>
      <c r="D29" s="28"/>
      <c r="E29" s="6"/>
      <c r="G29" s="12">
        <v>26</v>
      </c>
      <c r="H29" s="22">
        <f t="shared" si="9"/>
        <v>46017</v>
      </c>
      <c r="I29" s="12" t="str">
        <f t="shared" si="0"/>
        <v>Fri</v>
      </c>
      <c r="J29" s="12">
        <v>10000</v>
      </c>
      <c r="K29" s="12">
        <v>46</v>
      </c>
      <c r="L29" s="24">
        <f t="shared" si="1"/>
        <v>217.39130434782609</v>
      </c>
      <c r="M29" s="12">
        <v>5421</v>
      </c>
      <c r="N29" s="12">
        <v>40</v>
      </c>
      <c r="O29" s="24">
        <f t="shared" si="2"/>
        <v>135.52500000000001</v>
      </c>
      <c r="P29" s="12">
        <v>2540</v>
      </c>
      <c r="Q29" s="12">
        <v>45</v>
      </c>
      <c r="R29" s="24">
        <f t="shared" si="3"/>
        <v>56.444444444444443</v>
      </c>
      <c r="S29" s="25">
        <v>20000</v>
      </c>
      <c r="T29" s="25">
        <f t="shared" si="4"/>
        <v>17961</v>
      </c>
      <c r="U29" s="25">
        <f t="shared" si="5"/>
        <v>131</v>
      </c>
      <c r="V29" s="26">
        <f t="shared" si="6"/>
        <v>137.10687022900763</v>
      </c>
      <c r="W29" s="25">
        <f t="shared" si="7"/>
        <v>-2039</v>
      </c>
      <c r="X29" s="27">
        <f t="shared" si="8"/>
        <v>0.89805000000000001</v>
      </c>
    </row>
    <row r="30" spans="2:24" ht="16.2" thickBot="1" x14ac:dyDescent="0.35">
      <c r="B30" s="4"/>
      <c r="C30" s="5" t="s">
        <v>24</v>
      </c>
      <c r="D30" s="19">
        <f>SUM(D26:D28)</f>
        <v>652247</v>
      </c>
      <c r="E30" s="6"/>
      <c r="G30" s="12">
        <v>27</v>
      </c>
      <c r="H30" s="22">
        <f t="shared" si="9"/>
        <v>46018</v>
      </c>
      <c r="I30" s="12" t="str">
        <f t="shared" si="0"/>
        <v>Sat</v>
      </c>
      <c r="J30" s="12">
        <v>16000</v>
      </c>
      <c r="K30" s="12">
        <v>35</v>
      </c>
      <c r="L30" s="24">
        <f t="shared" si="1"/>
        <v>457.14285714285717</v>
      </c>
      <c r="M30" s="12">
        <v>5962</v>
      </c>
      <c r="N30" s="12">
        <v>36</v>
      </c>
      <c r="O30" s="24">
        <f t="shared" si="2"/>
        <v>165.61111111111111</v>
      </c>
      <c r="P30" s="12">
        <v>2632</v>
      </c>
      <c r="Q30" s="12">
        <v>46</v>
      </c>
      <c r="R30" s="24">
        <f t="shared" si="3"/>
        <v>57.217391304347828</v>
      </c>
      <c r="S30" s="25">
        <v>20000</v>
      </c>
      <c r="T30" s="25">
        <f t="shared" si="4"/>
        <v>24594</v>
      </c>
      <c r="U30" s="25">
        <f t="shared" si="5"/>
        <v>117</v>
      </c>
      <c r="V30" s="26">
        <f t="shared" si="6"/>
        <v>210.2051282051282</v>
      </c>
      <c r="W30" s="25">
        <f t="shared" si="7"/>
        <v>4594</v>
      </c>
      <c r="X30" s="27">
        <f t="shared" si="8"/>
        <v>1.2297</v>
      </c>
    </row>
    <row r="31" spans="2:24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22">
        <f t="shared" si="9"/>
        <v>46019</v>
      </c>
      <c r="I31" s="12" t="str">
        <f t="shared" si="0"/>
        <v>Sun</v>
      </c>
      <c r="J31" s="12">
        <v>12000</v>
      </c>
      <c r="K31" s="12">
        <v>50</v>
      </c>
      <c r="L31" s="24">
        <f t="shared" si="1"/>
        <v>240</v>
      </c>
      <c r="M31" s="12">
        <v>6521</v>
      </c>
      <c r="N31" s="12">
        <v>34</v>
      </c>
      <c r="O31" s="24">
        <f t="shared" si="2"/>
        <v>191.79411764705881</v>
      </c>
      <c r="P31" s="12">
        <v>1100</v>
      </c>
      <c r="Q31" s="12">
        <v>35</v>
      </c>
      <c r="R31" s="24">
        <f t="shared" si="3"/>
        <v>31.428571428571427</v>
      </c>
      <c r="S31" s="25">
        <v>20000</v>
      </c>
      <c r="T31" s="25">
        <f t="shared" si="4"/>
        <v>19621</v>
      </c>
      <c r="U31" s="25">
        <f t="shared" si="5"/>
        <v>119</v>
      </c>
      <c r="V31" s="26">
        <f t="shared" si="6"/>
        <v>164.88235294117646</v>
      </c>
      <c r="W31" s="25">
        <f t="shared" si="7"/>
        <v>-379</v>
      </c>
      <c r="X31" s="27">
        <f t="shared" si="8"/>
        <v>0.98104999999999998</v>
      </c>
    </row>
    <row r="32" spans="2:24" ht="16.2" thickBot="1" x14ac:dyDescent="0.35">
      <c r="B32" s="4"/>
      <c r="C32" s="5"/>
      <c r="D32" s="28"/>
      <c r="E32" s="6"/>
      <c r="G32" s="12">
        <v>29</v>
      </c>
      <c r="H32" s="22">
        <f t="shared" si="9"/>
        <v>46020</v>
      </c>
      <c r="I32" s="12" t="str">
        <f t="shared" si="0"/>
        <v>Mon</v>
      </c>
      <c r="J32" s="12">
        <v>11000</v>
      </c>
      <c r="K32" s="12">
        <v>40</v>
      </c>
      <c r="L32" s="24">
        <f t="shared" si="1"/>
        <v>275</v>
      </c>
      <c r="M32" s="12">
        <v>6321</v>
      </c>
      <c r="N32" s="12">
        <v>45</v>
      </c>
      <c r="O32" s="24">
        <f t="shared" si="2"/>
        <v>140.46666666666667</v>
      </c>
      <c r="P32" s="12">
        <v>1562</v>
      </c>
      <c r="Q32" s="12">
        <v>50</v>
      </c>
      <c r="R32" s="24">
        <f t="shared" si="3"/>
        <v>31.24</v>
      </c>
      <c r="S32" s="25">
        <v>20000</v>
      </c>
      <c r="T32" s="25">
        <f t="shared" si="4"/>
        <v>18883</v>
      </c>
      <c r="U32" s="25">
        <f t="shared" si="5"/>
        <v>135</v>
      </c>
      <c r="V32" s="26">
        <f t="shared" si="6"/>
        <v>139.87407407407409</v>
      </c>
      <c r="W32" s="25">
        <f t="shared" si="7"/>
        <v>-1117</v>
      </c>
      <c r="X32" s="27">
        <f t="shared" si="8"/>
        <v>0.94415000000000004</v>
      </c>
    </row>
    <row r="33" spans="2:24" ht="16.2" thickBot="1" x14ac:dyDescent="0.35">
      <c r="B33" s="4"/>
      <c r="C33" s="5" t="s">
        <v>26</v>
      </c>
      <c r="D33" s="38">
        <f>D30-D31</f>
        <v>-57776</v>
      </c>
      <c r="E33" s="6"/>
      <c r="G33" s="12">
        <v>30</v>
      </c>
      <c r="H33" s="22">
        <f t="shared" si="9"/>
        <v>46021</v>
      </c>
      <c r="I33" s="12" t="str">
        <f t="shared" si="0"/>
        <v>Tue</v>
      </c>
      <c r="J33" s="12">
        <v>18000</v>
      </c>
      <c r="K33" s="12">
        <v>36</v>
      </c>
      <c r="L33" s="24">
        <f t="shared" si="1"/>
        <v>500</v>
      </c>
      <c r="M33" s="12">
        <v>6548</v>
      </c>
      <c r="N33" s="12">
        <v>46</v>
      </c>
      <c r="O33" s="24">
        <f t="shared" si="2"/>
        <v>142.34782608695653</v>
      </c>
      <c r="P33" s="12">
        <v>1995</v>
      </c>
      <c r="Q33" s="12">
        <v>40</v>
      </c>
      <c r="R33" s="24">
        <f t="shared" si="3"/>
        <v>49.875</v>
      </c>
      <c r="S33" s="25">
        <v>20000</v>
      </c>
      <c r="T33" s="25">
        <f t="shared" si="4"/>
        <v>26543</v>
      </c>
      <c r="U33" s="25">
        <f t="shared" si="5"/>
        <v>122</v>
      </c>
      <c r="V33" s="26">
        <f t="shared" si="6"/>
        <v>217.5655737704918</v>
      </c>
      <c r="W33" s="25">
        <f t="shared" si="7"/>
        <v>6543</v>
      </c>
      <c r="X33" s="27">
        <f t="shared" si="8"/>
        <v>1.3271500000000001</v>
      </c>
    </row>
    <row r="34" spans="2:24" ht="16.2" thickBot="1" x14ac:dyDescent="0.35">
      <c r="B34" s="4"/>
      <c r="C34" s="5"/>
      <c r="D34" s="39">
        <f>(D30-D31)/D31</f>
        <v>-8.1372011892572496E-2</v>
      </c>
      <c r="E34" s="6"/>
      <c r="G34" s="29">
        <v>31</v>
      </c>
      <c r="H34" s="30">
        <f t="shared" si="9"/>
        <v>46022</v>
      </c>
      <c r="I34" s="29" t="str">
        <f>TEXT(H34,"DDD")</f>
        <v>Wed</v>
      </c>
      <c r="J34" s="29">
        <v>17000</v>
      </c>
      <c r="K34" s="29">
        <v>34</v>
      </c>
      <c r="L34" s="31">
        <f>IF(J34=0,"",J34/K34)</f>
        <v>500</v>
      </c>
      <c r="M34" s="29">
        <v>4512</v>
      </c>
      <c r="N34" s="29">
        <v>21</v>
      </c>
      <c r="O34" s="31">
        <f t="shared" si="2"/>
        <v>214.85714285714286</v>
      </c>
      <c r="P34" s="29">
        <v>2400</v>
      </c>
      <c r="Q34" s="29">
        <v>46</v>
      </c>
      <c r="R34" s="31">
        <f t="shared" si="3"/>
        <v>52.173913043478258</v>
      </c>
      <c r="S34" s="32">
        <v>20000</v>
      </c>
      <c r="T34" s="32">
        <f t="shared" si="4"/>
        <v>23912</v>
      </c>
      <c r="U34" s="32">
        <f>IF(T34="","",K34+N34+Q34)</f>
        <v>101</v>
      </c>
      <c r="V34" s="33">
        <f t="shared" si="6"/>
        <v>236.75247524752476</v>
      </c>
      <c r="W34" s="32">
        <f t="shared" si="7"/>
        <v>3912</v>
      </c>
      <c r="X34" s="34">
        <f t="shared" si="8"/>
        <v>1.1956</v>
      </c>
    </row>
    <row r="35" spans="2:24" ht="38.4" customHeight="1" thickBot="1" x14ac:dyDescent="0.35">
      <c r="B35" s="7"/>
      <c r="C35" s="8"/>
      <c r="D35" s="8"/>
      <c r="E35" s="9"/>
      <c r="G35" s="48" t="s">
        <v>42</v>
      </c>
      <c r="H35" s="49"/>
      <c r="I35" s="49"/>
      <c r="J35" s="35">
        <f>SUM(J4:J34)</f>
        <v>398000</v>
      </c>
      <c r="K35" s="36">
        <f>SUM(K4:K34)</f>
        <v>1216</v>
      </c>
      <c r="L35" s="11"/>
      <c r="M35" s="35">
        <f>SUM(M4:M34)</f>
        <v>180483</v>
      </c>
      <c r="N35" s="36">
        <f>SUM(N4:N34)</f>
        <v>1213</v>
      </c>
      <c r="O35" s="11"/>
      <c r="P35" s="35">
        <f>SUM(P4:P34)</f>
        <v>73764</v>
      </c>
      <c r="Q35" s="36">
        <f>SUM(Q4:Q34)</f>
        <v>1238</v>
      </c>
      <c r="R35" s="11"/>
      <c r="S35" s="36">
        <f>SUM(S4:S34)</f>
        <v>620000</v>
      </c>
      <c r="T35" s="36">
        <f>SUM(T4:T34)</f>
        <v>652247</v>
      </c>
      <c r="U35" s="36">
        <f>SUM(U4:U34)</f>
        <v>3667</v>
      </c>
      <c r="V35" s="11"/>
      <c r="W35" s="35">
        <f>SUM(W4:W34)</f>
        <v>32247</v>
      </c>
      <c r="X35" s="11"/>
    </row>
  </sheetData>
  <mergeCells count="3">
    <mergeCell ref="G2:R2"/>
    <mergeCell ref="S2:X2"/>
    <mergeCell ref="G35:I35"/>
  </mergeCells>
  <conditionalFormatting sqref="D20">
    <cfRule type="cellIs" dxfId="9" priority="1" operator="equal">
      <formula>"No"</formula>
    </cfRule>
    <cfRule type="cellIs" dxfId="8" priority="2" operator="equal">
      <formula>"Yes"</formula>
    </cfRule>
  </conditionalFormatting>
  <conditionalFormatting sqref="D33:D34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I4:I34">
    <cfRule type="cellIs" dxfId="5" priority="7" operator="equal">
      <formula>"SUN"</formula>
    </cfRule>
    <cfRule type="cellIs" dxfId="4" priority="8" operator="equal">
      <formula>"SAT"</formula>
    </cfRule>
  </conditionalFormatting>
  <dataValidations count="2">
    <dataValidation type="list" allowBlank="1" showInputMessage="1" showErrorMessage="1" sqref="D5" xr:uid="{A717EB5C-6F20-4EA1-B382-7B60F831AEE6}">
      <formula1>"2025, 2026, 2027, 2028, 2029, 2030, 2031, 2032, 2033"</formula1>
    </dataValidation>
    <dataValidation type="list" allowBlank="1" showInputMessage="1" showErrorMessage="1" sqref="D3" xr:uid="{F40C17D5-EDFB-46EC-A68D-16ED252A4B76}">
      <formula1>"January, February, March, April, May, June, July, August, September, October, November, December"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4F1A-AF6A-4B80-AF1E-B3B88C43AB22}">
  <dimension ref="B1:V35"/>
  <sheetViews>
    <sheetView showGridLines="0" tabSelected="1" zoomScale="66" zoomScaleNormal="66" workbookViewId="0">
      <selection activeCell="C55" sqref="C55"/>
    </sheetView>
  </sheetViews>
  <sheetFormatPr defaultRowHeight="15.6" x14ac:dyDescent="0.3"/>
  <cols>
    <col min="1" max="1" width="3.5" customWidth="1"/>
    <col min="2" max="2" width="2.8984375" customWidth="1"/>
    <col min="3" max="3" width="23.19921875" customWidth="1"/>
    <col min="4" max="4" width="23.5" customWidth="1"/>
    <col min="5" max="5" width="2.3984375" customWidth="1"/>
    <col min="7" max="7" width="9.8984375" customWidth="1"/>
    <col min="8" max="8" width="17.796875" bestFit="1" customWidth="1"/>
    <col min="9" max="9" width="13.69921875" bestFit="1" customWidth="1"/>
    <col min="10" max="10" width="10.09765625" bestFit="1" customWidth="1"/>
    <col min="11" max="11" width="14.796875" bestFit="1" customWidth="1"/>
    <col min="12" max="12" width="17" bestFit="1" customWidth="1"/>
    <col min="13" max="13" width="10.09765625" bestFit="1" customWidth="1"/>
    <col min="14" max="14" width="12.3984375" bestFit="1" customWidth="1"/>
    <col min="15" max="15" width="14.3984375" bestFit="1" customWidth="1"/>
    <col min="16" max="16" width="10.09765625" bestFit="1" customWidth="1"/>
    <col min="17" max="17" width="21.3984375" bestFit="1" customWidth="1"/>
    <col min="18" max="18" width="19.5" bestFit="1" customWidth="1"/>
    <col min="19" max="19" width="10.796875" bestFit="1" customWidth="1"/>
    <col min="20" max="20" width="10.09765625" bestFit="1" customWidth="1"/>
    <col min="21" max="21" width="16.796875" bestFit="1" customWidth="1"/>
    <col min="22" max="22" width="8.09765625" customWidth="1"/>
  </cols>
  <sheetData>
    <row r="1" spans="2:22" ht="10.8" customHeight="1" thickBot="1" x14ac:dyDescent="0.35"/>
    <row r="2" spans="2:22" ht="40.799999999999997" customHeight="1" thickBot="1" x14ac:dyDescent="0.35">
      <c r="B2" s="1"/>
      <c r="C2" s="2"/>
      <c r="D2" s="10" t="s">
        <v>29</v>
      </c>
      <c r="E2" s="3"/>
      <c r="G2" s="42" t="s">
        <v>49</v>
      </c>
      <c r="H2" s="43"/>
      <c r="I2" s="43"/>
      <c r="J2" s="43"/>
      <c r="K2" s="43"/>
      <c r="L2" s="43"/>
      <c r="M2" s="43"/>
      <c r="N2" s="43"/>
      <c r="O2" s="43"/>
      <c r="P2" s="44"/>
      <c r="Q2" s="45" t="s">
        <v>36</v>
      </c>
      <c r="R2" s="46"/>
      <c r="S2" s="46"/>
      <c r="T2" s="46"/>
      <c r="U2" s="46"/>
      <c r="V2" s="47"/>
    </row>
    <row r="3" spans="2:22" ht="16.2" thickBot="1" x14ac:dyDescent="0.35">
      <c r="B3" s="4"/>
      <c r="C3" s="5" t="s">
        <v>10</v>
      </c>
      <c r="D3" s="21"/>
      <c r="E3" s="6"/>
      <c r="G3" s="18" t="s">
        <v>0</v>
      </c>
      <c r="H3" s="13" t="s">
        <v>3</v>
      </c>
      <c r="I3" s="13" t="s">
        <v>4</v>
      </c>
      <c r="J3" s="13" t="s">
        <v>5</v>
      </c>
      <c r="K3" s="14" t="s">
        <v>6</v>
      </c>
      <c r="L3" s="14" t="s">
        <v>7</v>
      </c>
      <c r="M3" s="14" t="s">
        <v>5</v>
      </c>
      <c r="N3" s="15" t="s">
        <v>8</v>
      </c>
      <c r="O3" s="15" t="s">
        <v>9</v>
      </c>
      <c r="P3" s="15" t="s">
        <v>5</v>
      </c>
      <c r="Q3" s="16" t="s">
        <v>31</v>
      </c>
      <c r="R3" s="16" t="s">
        <v>32</v>
      </c>
      <c r="S3" s="16" t="s">
        <v>33</v>
      </c>
      <c r="T3" s="16" t="s">
        <v>5</v>
      </c>
      <c r="U3" s="16" t="s">
        <v>34</v>
      </c>
      <c r="V3" s="17" t="s">
        <v>35</v>
      </c>
    </row>
    <row r="4" spans="2:22" ht="16.2" thickBot="1" x14ac:dyDescent="0.35">
      <c r="B4" s="4"/>
      <c r="C4" s="5"/>
      <c r="D4" s="5"/>
      <c r="E4" s="6"/>
      <c r="G4" s="12">
        <v>1</v>
      </c>
      <c r="H4" s="12">
        <f>JAN!J4+FEB!J4+MAR!J4+APR!J4+MAY!J4+JUNE!J4+JULY!J4+AUG!J4+SEP!J4+OCT!J4+NOV!J4+DEC!J4</f>
        <v>180000</v>
      </c>
      <c r="I4" s="12">
        <f>JAN!K4+FEB!K4+MAR!K4+APR!K4+MAY!K4+JUNE!K4+JULY!K4+AUG!K4+SEP!K4+OCT!K4+NOV!K4+DEC!K4</f>
        <v>288</v>
      </c>
      <c r="J4" s="24">
        <f t="shared" ref="J4:J33" si="0">IF(H4=0,"",H4/I4)</f>
        <v>625</v>
      </c>
      <c r="K4" s="12">
        <f>JAN!M4+FEB!M4+MAR!M4+APR!M4+MAY!M4+JUNE!M4+JULY!M4+AUG!M4+SEP!M4+OCT!M4+NOV!M4+DEC!M4</f>
        <v>84000</v>
      </c>
      <c r="L4" s="12">
        <f>JAN!N4+FEB!N4+MAR!N4+APR!N4+MAY!N4+JUNE!N4+JULY!N4+AUG!N4+SEP!N4+OCT!N4+NOV!N4+DEC!N4</f>
        <v>420</v>
      </c>
      <c r="M4" s="24">
        <f>IF(K4=0,"",K4/L4)</f>
        <v>200</v>
      </c>
      <c r="N4" s="12">
        <f>JAN!P4+FEB!P4+MAR!P4+APR!P4+MAY!P4+JUNE!P4+JULY!P4+AUG!P4+SEP!P4+OCT!P4+NOV!P4+DEC!P4</f>
        <v>72000</v>
      </c>
      <c r="O4" s="12">
        <f>JAN!Q4+FEB!Q4+MAR!Q4+APR!Q4+MAY!Q4+JUNE!Q4+JULY!Q4+AUG!Q4+SEP!Q4+OCT!Q4+NOV!Q4+DEC!Q4</f>
        <v>432</v>
      </c>
      <c r="P4" s="24">
        <f>IF(N4=0,"",N4/O4)</f>
        <v>166.66666666666666</v>
      </c>
      <c r="Q4" s="25">
        <f>JAN!S4+FEB!S4+MAR!S4+APR!S4+MAY!S4+JUNE!S4+JULY!S4+AUG!S4+SEP!S4+OCT!S4+NOV!S4+DEC!S4</f>
        <v>240000</v>
      </c>
      <c r="R4" s="25">
        <f>IF(H4=0,"",H4+K4+N4)</f>
        <v>336000</v>
      </c>
      <c r="S4" s="25">
        <f>IF(R4="","",I4+L4+O4)</f>
        <v>1140</v>
      </c>
      <c r="T4" s="26">
        <f>IF(S4="","",R4/S4)</f>
        <v>294.73684210526318</v>
      </c>
      <c r="U4" s="25">
        <f>IFERROR(R4-Q4,"")</f>
        <v>96000</v>
      </c>
      <c r="V4" s="27">
        <f>IF(Q4=0,"",R4/Q4)</f>
        <v>1.4</v>
      </c>
    </row>
    <row r="5" spans="2:22" ht="16.2" thickBot="1" x14ac:dyDescent="0.35">
      <c r="B5" s="4"/>
      <c r="C5" s="5" t="s">
        <v>11</v>
      </c>
      <c r="D5" s="21">
        <v>2025</v>
      </c>
      <c r="E5" s="6"/>
      <c r="G5" s="12">
        <v>2</v>
      </c>
      <c r="H5" s="12">
        <f>JAN!J5+FEB!J5+MAR!J5+APR!J5+MAY!J5+JUNE!J5+JULY!J5+AUG!J5+SEP!J5+OCT!J5+NOV!J5+DEC!J5</f>
        <v>144000</v>
      </c>
      <c r="I5" s="12">
        <f>JAN!K5+FEB!K5+MAR!K5+APR!K5+MAY!K5+JUNE!K5+JULY!K5+AUG!K5+SEP!K5+OCT!K5+NOV!K5+DEC!K5</f>
        <v>540</v>
      </c>
      <c r="J5" s="24">
        <f t="shared" ref="J5:J34" si="1">IF(H5=0,"",H5/I5)</f>
        <v>266.66666666666669</v>
      </c>
      <c r="K5" s="12">
        <f>JAN!M5+FEB!M5+MAR!M5+APR!M5+MAY!M5+JUNE!M5+JULY!M5+AUG!M5+SEP!M5+OCT!M5+NOV!M5+DEC!M5</f>
        <v>66000</v>
      </c>
      <c r="L5" s="12">
        <f>JAN!N5+FEB!N5+MAR!N5+APR!N5+MAY!N5+JUNE!N5+JULY!N5+AUG!N5+SEP!N5+OCT!N5+NOV!N5+DEC!N5</f>
        <v>600</v>
      </c>
      <c r="M5" s="24">
        <f t="shared" ref="M5:M34" si="2">IF(K5=0,"",K5/L5)</f>
        <v>110</v>
      </c>
      <c r="N5" s="12">
        <f>JAN!P5+FEB!P5+MAR!P5+APR!P5+MAY!P5+JUNE!P5+JULY!P5+AUG!P5+SEP!P5+OCT!P5+NOV!P5+DEC!P5</f>
        <v>63852</v>
      </c>
      <c r="O5" s="12">
        <f>JAN!Q5+FEB!Q5+MAR!Q5+APR!Q5+MAY!Q5+JUNE!Q5+JULY!Q5+AUG!Q5+SEP!Q5+OCT!Q5+NOV!Q5+DEC!Q5</f>
        <v>408</v>
      </c>
      <c r="P5" s="24">
        <f t="shared" ref="P5:P34" si="3">IF(N5=0,"",N5/O5)</f>
        <v>156.5</v>
      </c>
      <c r="Q5" s="25">
        <f>JAN!S5+FEB!S5+MAR!S5+APR!S5+MAY!S5+JUNE!S5+JULY!S5+AUG!S5+SEP!S5+OCT!S5+NOV!S5+DEC!S5</f>
        <v>240000</v>
      </c>
      <c r="R5" s="25">
        <f t="shared" ref="R5:R34" si="4">IF(H5=0,"",H5+K5+N5)</f>
        <v>273852</v>
      </c>
      <c r="S5" s="25">
        <f t="shared" ref="S5:S33" si="5">IF(R5="","",I5+L5+O5)</f>
        <v>1548</v>
      </c>
      <c r="T5" s="26">
        <f t="shared" ref="T5:T34" si="6">IF(S5="","",R5/S5)</f>
        <v>176.90697674418604</v>
      </c>
      <c r="U5" s="25">
        <f t="shared" ref="U5:U34" si="7">IFERROR(R5-Q5,"")</f>
        <v>33852</v>
      </c>
      <c r="V5" s="27">
        <f t="shared" ref="V5:V34" si="8">IF(Q5=0,"",R5/Q5)</f>
        <v>1.1410499999999999</v>
      </c>
    </row>
    <row r="6" spans="2:22" ht="16.2" thickBot="1" x14ac:dyDescent="0.35">
      <c r="B6" s="4"/>
      <c r="C6" s="5"/>
      <c r="D6" s="5"/>
      <c r="E6" s="6"/>
      <c r="G6" s="12">
        <v>3</v>
      </c>
      <c r="H6" s="12">
        <f>JAN!J6+FEB!J6+MAR!J6+APR!J6+MAY!J6+JUNE!J6+JULY!J6+AUG!J6+SEP!J6+OCT!J6+NOV!J6+DEC!J6</f>
        <v>168000</v>
      </c>
      <c r="I6" s="12">
        <f>JAN!K6+FEB!K6+MAR!K6+APR!K6+MAY!K6+JUNE!K6+JULY!K6+AUG!K6+SEP!K6+OCT!K6+NOV!K6+DEC!K6</f>
        <v>552</v>
      </c>
      <c r="J6" s="24">
        <f t="shared" si="1"/>
        <v>304.3478260869565</v>
      </c>
      <c r="K6" s="12">
        <f>JAN!M6+FEB!M6+MAR!M6+APR!M6+MAY!M6+JUNE!M6+JULY!M6+AUG!M6+SEP!M6+OCT!M6+NOV!M6+DEC!M6</f>
        <v>67200</v>
      </c>
      <c r="L6" s="12">
        <f>JAN!N6+FEB!N6+MAR!N6+APR!N6+MAY!N6+JUNE!N6+JULY!N6+AUG!N6+SEP!N6+OCT!N6+NOV!N6+DEC!N6</f>
        <v>480</v>
      </c>
      <c r="M6" s="24">
        <f t="shared" si="2"/>
        <v>140</v>
      </c>
      <c r="N6" s="12">
        <f>JAN!P6+FEB!P6+MAR!P6+APR!P6+MAY!P6+JUNE!P6+JULY!P6+AUG!P6+SEP!P6+OCT!P6+NOV!P6+DEC!P6</f>
        <v>14400</v>
      </c>
      <c r="O6" s="12">
        <f>JAN!Q6+FEB!Q6+MAR!Q6+APR!Q6+MAY!Q6+JUNE!Q6+JULY!Q6+AUG!Q6+SEP!Q6+OCT!Q6+NOV!Q6+DEC!Q6</f>
        <v>288</v>
      </c>
      <c r="P6" s="24">
        <f t="shared" si="3"/>
        <v>50</v>
      </c>
      <c r="Q6" s="25">
        <f>JAN!S6+FEB!S6+MAR!S6+APR!S6+MAY!S6+JUNE!S6+JULY!S6+AUG!S6+SEP!S6+OCT!S6+NOV!S6+DEC!S6</f>
        <v>240000</v>
      </c>
      <c r="R6" s="25">
        <f t="shared" si="4"/>
        <v>249600</v>
      </c>
      <c r="S6" s="25">
        <f t="shared" si="5"/>
        <v>1320</v>
      </c>
      <c r="T6" s="26">
        <f t="shared" si="6"/>
        <v>189.09090909090909</v>
      </c>
      <c r="U6" s="25">
        <f t="shared" si="7"/>
        <v>9600</v>
      </c>
      <c r="V6" s="27">
        <f t="shared" si="8"/>
        <v>1.04</v>
      </c>
    </row>
    <row r="7" spans="2:22" ht="16.2" thickBot="1" x14ac:dyDescent="0.35">
      <c r="B7" s="4"/>
      <c r="C7" s="5" t="s">
        <v>12</v>
      </c>
      <c r="D7" s="23"/>
      <c r="E7" s="6"/>
      <c r="G7" s="12">
        <v>4</v>
      </c>
      <c r="H7" s="12">
        <f>JAN!J7+FEB!J7+MAR!J7+APR!J7+MAY!J7+JUNE!J7+JULY!J7+AUG!J7+SEP!J7+OCT!J7+NOV!J7+DEC!J7</f>
        <v>132000</v>
      </c>
      <c r="I7" s="12">
        <f>JAN!K7+FEB!K7+MAR!K7+APR!K7+MAY!K7+JUNE!K7+JULY!K7+AUG!K7+SEP!K7+OCT!K7+NOV!K7+DEC!K7</f>
        <v>420</v>
      </c>
      <c r="J7" s="24">
        <f t="shared" si="1"/>
        <v>314.28571428571428</v>
      </c>
      <c r="K7" s="12">
        <f>JAN!M7+FEB!M7+MAR!M7+APR!M7+MAY!M7+JUNE!M7+JULY!M7+AUG!M7+SEP!M7+OCT!M7+NOV!M7+DEC!M7</f>
        <v>69600</v>
      </c>
      <c r="L7" s="12">
        <f>JAN!N7+FEB!N7+MAR!N7+APR!N7+MAY!N7+JUNE!N7+JULY!N7+AUG!N7+SEP!N7+OCT!N7+NOV!N7+DEC!N7</f>
        <v>432</v>
      </c>
      <c r="M7" s="24">
        <f t="shared" si="2"/>
        <v>161.11111111111111</v>
      </c>
      <c r="N7" s="12">
        <f>JAN!P7+FEB!P7+MAR!P7+APR!P7+MAY!P7+JUNE!P7+JULY!P7+AUG!P7+SEP!P7+OCT!P7+NOV!P7+DEC!P7</f>
        <v>26400</v>
      </c>
      <c r="O7" s="12">
        <f>JAN!Q7+FEB!Q7+MAR!Q7+APR!Q7+MAY!Q7+JUNE!Q7+JULY!Q7+AUG!Q7+SEP!Q7+OCT!Q7+NOV!Q7+DEC!Q7</f>
        <v>540</v>
      </c>
      <c r="P7" s="24">
        <f t="shared" si="3"/>
        <v>48.888888888888886</v>
      </c>
      <c r="Q7" s="25">
        <f>JAN!S7+FEB!S7+MAR!S7+APR!S7+MAY!S7+JUNE!S7+JULY!S7+AUG!S7+SEP!S7+OCT!S7+NOV!S7+DEC!S7</f>
        <v>240000</v>
      </c>
      <c r="R7" s="25">
        <f t="shared" si="4"/>
        <v>228000</v>
      </c>
      <c r="S7" s="25">
        <f t="shared" si="5"/>
        <v>1392</v>
      </c>
      <c r="T7" s="26">
        <f t="shared" si="6"/>
        <v>163.79310344827587</v>
      </c>
      <c r="U7" s="25">
        <f t="shared" si="7"/>
        <v>-12000</v>
      </c>
      <c r="V7" s="27">
        <f t="shared" si="8"/>
        <v>0.95</v>
      </c>
    </row>
    <row r="8" spans="2:22" ht="16.2" thickBot="1" x14ac:dyDescent="0.35">
      <c r="B8" s="4"/>
      <c r="C8" s="5"/>
      <c r="D8" s="5"/>
      <c r="E8" s="6"/>
      <c r="G8" s="12">
        <v>5</v>
      </c>
      <c r="H8" s="12">
        <f>JAN!J8+FEB!J8+MAR!J8+APR!J8+MAY!J8+JUNE!J8+JULY!J8+AUG!J8+SEP!J8+OCT!J8+NOV!J8+DEC!J8</f>
        <v>120000</v>
      </c>
      <c r="I8" s="12">
        <f>JAN!K8+FEB!K8+MAR!K8+APR!K8+MAY!K8+JUNE!K8+JULY!K8+AUG!K8+SEP!K8+OCT!K8+NOV!K8+DEC!K8</f>
        <v>600</v>
      </c>
      <c r="J8" s="24">
        <f t="shared" si="1"/>
        <v>200</v>
      </c>
      <c r="K8" s="12">
        <f>JAN!M8+FEB!M8+MAR!M8+APR!M8+MAY!M8+JUNE!M8+JULY!M8+AUG!M8+SEP!M8+OCT!M8+NOV!M8+DEC!M8</f>
        <v>85200</v>
      </c>
      <c r="L8" s="12">
        <f>JAN!N8+FEB!N8+MAR!N8+APR!N8+MAY!N8+JUNE!N8+JULY!N8+AUG!N8+SEP!N8+OCT!N8+NOV!N8+DEC!N8</f>
        <v>408</v>
      </c>
      <c r="M8" s="24">
        <f t="shared" si="2"/>
        <v>208.8235294117647</v>
      </c>
      <c r="N8" s="12">
        <f>JAN!P8+FEB!P8+MAR!P8+APR!P8+MAY!P8+JUNE!P8+JULY!P8+AUG!P8+SEP!P8+OCT!P8+NOV!P8+DEC!P8</f>
        <v>28980</v>
      </c>
      <c r="O8" s="12">
        <f>JAN!Q8+FEB!Q8+MAR!Q8+APR!Q8+MAY!Q8+JUNE!Q8+JULY!Q8+AUG!Q8+SEP!Q8+OCT!Q8+NOV!Q8+DEC!Q8</f>
        <v>552</v>
      </c>
      <c r="P8" s="24">
        <f t="shared" si="3"/>
        <v>52.5</v>
      </c>
      <c r="Q8" s="25">
        <f>JAN!S8+FEB!S8+MAR!S8+APR!S8+MAY!S8+JUNE!S8+JULY!S8+AUG!S8+SEP!S8+OCT!S8+NOV!S8+DEC!S8</f>
        <v>240000</v>
      </c>
      <c r="R8" s="25">
        <f t="shared" si="4"/>
        <v>234180</v>
      </c>
      <c r="S8" s="25">
        <f t="shared" si="5"/>
        <v>1560</v>
      </c>
      <c r="T8" s="26">
        <f t="shared" si="6"/>
        <v>150.11538461538461</v>
      </c>
      <c r="U8" s="25">
        <f t="shared" si="7"/>
        <v>-5820</v>
      </c>
      <c r="V8" s="27">
        <f t="shared" si="8"/>
        <v>0.97575000000000001</v>
      </c>
    </row>
    <row r="9" spans="2:22" ht="16.2" thickBot="1" x14ac:dyDescent="0.35">
      <c r="B9" s="4"/>
      <c r="C9" s="5" t="s">
        <v>13</v>
      </c>
      <c r="D9" s="23"/>
      <c r="E9" s="6"/>
      <c r="G9" s="12">
        <v>6</v>
      </c>
      <c r="H9" s="12">
        <f>JAN!J9+FEB!J9+MAR!J9+APR!J9+MAY!J9+JUNE!J9+JULY!J9+AUG!J9+SEP!J9+OCT!J9+NOV!J9+DEC!J9</f>
        <v>192000</v>
      </c>
      <c r="I9" s="12">
        <f>JAN!K9+FEB!K9+MAR!K9+APR!K9+MAY!K9+JUNE!K9+JULY!K9+AUG!K9+SEP!K9+OCT!K9+NOV!K9+DEC!K9</f>
        <v>480</v>
      </c>
      <c r="J9" s="24">
        <f t="shared" si="1"/>
        <v>400</v>
      </c>
      <c r="K9" s="12">
        <f>JAN!M9+FEB!M9+MAR!M9+APR!M9+MAY!M9+JUNE!M9+JULY!M9+AUG!M9+SEP!M9+OCT!M9+NOV!M9+DEC!M9</f>
        <v>78000</v>
      </c>
      <c r="L9" s="12">
        <f>JAN!N9+FEB!N9+MAR!N9+APR!N9+MAY!N9+JUNE!N9+JULY!N9+AUG!N9+SEP!N9+OCT!N9+NOV!N9+DEC!N9</f>
        <v>288</v>
      </c>
      <c r="M9" s="24">
        <f t="shared" si="2"/>
        <v>270.83333333333331</v>
      </c>
      <c r="N9" s="12">
        <f>JAN!P9+FEB!P9+MAR!P9+APR!P9+MAY!P9+JUNE!P9+JULY!P9+AUG!P9+SEP!P9+OCT!P9+NOV!P9+DEC!P9</f>
        <v>30732</v>
      </c>
      <c r="O9" s="12">
        <f>JAN!Q9+FEB!Q9+MAR!Q9+APR!Q9+MAY!Q9+JUNE!Q9+JULY!Q9+AUG!Q9+SEP!Q9+OCT!Q9+NOV!Q9+DEC!Q9</f>
        <v>420</v>
      </c>
      <c r="P9" s="24">
        <f t="shared" si="3"/>
        <v>73.171428571428578</v>
      </c>
      <c r="Q9" s="25">
        <f>JAN!S9+FEB!S9+MAR!S9+APR!S9+MAY!S9+JUNE!S9+JULY!S9+AUG!S9+SEP!S9+OCT!S9+NOV!S9+DEC!S9</f>
        <v>240000</v>
      </c>
      <c r="R9" s="25">
        <f t="shared" si="4"/>
        <v>300732</v>
      </c>
      <c r="S9" s="25">
        <f t="shared" si="5"/>
        <v>1188</v>
      </c>
      <c r="T9" s="26">
        <f t="shared" si="6"/>
        <v>253.14141414141415</v>
      </c>
      <c r="U9" s="25">
        <f t="shared" si="7"/>
        <v>60732</v>
      </c>
      <c r="V9" s="27">
        <f t="shared" si="8"/>
        <v>1.25305</v>
      </c>
    </row>
    <row r="10" spans="2:22" ht="16.2" thickBot="1" x14ac:dyDescent="0.35">
      <c r="B10" s="4"/>
      <c r="C10" s="5"/>
      <c r="D10" s="5"/>
      <c r="E10" s="6"/>
      <c r="G10" s="12">
        <v>7</v>
      </c>
      <c r="H10" s="12">
        <f>JAN!J10+FEB!J10+MAR!J10+APR!J10+MAY!J10+JUNE!J10+JULY!J10+AUG!J10+SEP!J10+OCT!J10+NOV!J10+DEC!J10</f>
        <v>144000</v>
      </c>
      <c r="I10" s="12">
        <f>JAN!K10+FEB!K10+MAR!K10+APR!K10+MAY!K10+JUNE!K10+JULY!K10+AUG!K10+SEP!K10+OCT!K10+NOV!K10+DEC!K10</f>
        <v>432</v>
      </c>
      <c r="J10" s="24">
        <f t="shared" si="1"/>
        <v>333.33333333333331</v>
      </c>
      <c r="K10" s="12">
        <f>JAN!M10+FEB!M10+MAR!M10+APR!M10+MAY!M10+JUNE!M10+JULY!M10+AUG!M10+SEP!M10+OCT!M10+NOV!M10+DEC!M10</f>
        <v>74400</v>
      </c>
      <c r="L10" s="12">
        <f>JAN!N10+FEB!N10+MAR!N10+APR!N10+MAY!N10+JUNE!N10+JULY!N10+AUG!N10+SEP!N10+OCT!N10+NOV!N10+DEC!N10</f>
        <v>540</v>
      </c>
      <c r="M10" s="24">
        <f t="shared" si="2"/>
        <v>137.77777777777777</v>
      </c>
      <c r="N10" s="12">
        <f>JAN!P10+FEB!P10+MAR!P10+APR!P10+MAY!P10+JUNE!P10+JULY!P10+AUG!P10+SEP!P10+OCT!P10+NOV!P10+DEC!P10</f>
        <v>38568</v>
      </c>
      <c r="O10" s="12">
        <f>JAN!Q10+FEB!Q10+MAR!Q10+APR!Q10+MAY!Q10+JUNE!Q10+JULY!Q10+AUG!Q10+SEP!Q10+OCT!Q10+NOV!Q10+DEC!Q10</f>
        <v>600</v>
      </c>
      <c r="P10" s="24">
        <f t="shared" si="3"/>
        <v>64.28</v>
      </c>
      <c r="Q10" s="25">
        <f>JAN!S10+FEB!S10+MAR!S10+APR!S10+MAY!S10+JUNE!S10+JULY!S10+AUG!S10+SEP!S10+OCT!S10+NOV!S10+DEC!S10</f>
        <v>240000</v>
      </c>
      <c r="R10" s="25">
        <f t="shared" si="4"/>
        <v>256968</v>
      </c>
      <c r="S10" s="25">
        <f t="shared" si="5"/>
        <v>1572</v>
      </c>
      <c r="T10" s="26">
        <f t="shared" si="6"/>
        <v>163.46564885496184</v>
      </c>
      <c r="U10" s="25">
        <f t="shared" si="7"/>
        <v>16968</v>
      </c>
      <c r="V10" s="27">
        <f t="shared" si="8"/>
        <v>1.0707</v>
      </c>
    </row>
    <row r="11" spans="2:22" ht="16.2" thickBot="1" x14ac:dyDescent="0.35">
      <c r="B11" s="4"/>
      <c r="C11" s="5" t="s">
        <v>14</v>
      </c>
      <c r="D11" s="19">
        <f>JAN!D11+FEB!D11+MAR!D11+APR!D11+MAY!D11+JUNE!D11+JULY!D11+AUG!D11+SEP!D11+OCT!D11+NOV!D11+DEC!D11</f>
        <v>365</v>
      </c>
      <c r="E11" s="6"/>
      <c r="G11" s="12">
        <v>8</v>
      </c>
      <c r="H11" s="12">
        <f>JAN!J11+FEB!J11+MAR!J11+APR!J11+MAY!J11+JUNE!J11+JULY!J11+AUG!J11+SEP!J11+OCT!J11+NOV!J11+DEC!J11</f>
        <v>132000</v>
      </c>
      <c r="I11" s="12">
        <f>JAN!K11+FEB!K11+MAR!K11+APR!K11+MAY!K11+JUNE!K11+JULY!K11+AUG!K11+SEP!K11+OCT!K11+NOV!K11+DEC!K11</f>
        <v>408</v>
      </c>
      <c r="J11" s="24">
        <f t="shared" si="1"/>
        <v>323.52941176470586</v>
      </c>
      <c r="K11" s="12">
        <f>JAN!M11+FEB!M11+MAR!M11+APR!M11+MAY!M11+JUNE!M11+JULY!M11+AUG!M11+SEP!M11+OCT!M11+NOV!M11+DEC!M11</f>
        <v>54000</v>
      </c>
      <c r="L11" s="12">
        <f>JAN!N11+FEB!N11+MAR!N11+APR!N11+MAY!N11+JUNE!N11+JULY!N11+AUG!N11+SEP!N11+OCT!N11+NOV!N11+DEC!N11</f>
        <v>552</v>
      </c>
      <c r="M11" s="24">
        <f t="shared" si="2"/>
        <v>97.826086956521735</v>
      </c>
      <c r="N11" s="12">
        <f>JAN!P11+FEB!P11+MAR!P11+APR!P11+MAY!P11+JUNE!P11+JULY!P11+AUG!P11+SEP!P11+OCT!P11+NOV!P11+DEC!P11</f>
        <v>27780</v>
      </c>
      <c r="O11" s="12">
        <f>JAN!Q11+FEB!Q11+MAR!Q11+APR!Q11+MAY!Q11+JUNE!Q11+JULY!Q11+AUG!Q11+SEP!Q11+OCT!Q11+NOV!Q11+DEC!Q11</f>
        <v>480</v>
      </c>
      <c r="P11" s="24">
        <f t="shared" si="3"/>
        <v>57.875</v>
      </c>
      <c r="Q11" s="25">
        <f>JAN!S11+FEB!S11+MAR!S11+APR!S11+MAY!S11+JUNE!S11+JULY!S11+AUG!S11+SEP!S11+OCT!S11+NOV!S11+DEC!S11</f>
        <v>240000</v>
      </c>
      <c r="R11" s="25">
        <f t="shared" si="4"/>
        <v>213780</v>
      </c>
      <c r="S11" s="25">
        <f t="shared" si="5"/>
        <v>1440</v>
      </c>
      <c r="T11" s="26">
        <f t="shared" si="6"/>
        <v>148.45833333333334</v>
      </c>
      <c r="U11" s="25">
        <f t="shared" si="7"/>
        <v>-26220</v>
      </c>
      <c r="V11" s="27">
        <f t="shared" si="8"/>
        <v>0.89075000000000004</v>
      </c>
    </row>
    <row r="12" spans="2:22" ht="16.2" thickBot="1" x14ac:dyDescent="0.35">
      <c r="B12" s="4"/>
      <c r="C12" s="5"/>
      <c r="D12" s="28"/>
      <c r="E12" s="6"/>
      <c r="G12" s="12">
        <v>9</v>
      </c>
      <c r="H12" s="12">
        <f>JAN!J12+FEB!J12+MAR!J12+APR!J12+MAY!J12+JUNE!J12+JULY!J12+AUG!J12+SEP!J12+OCT!J12+NOV!J12+DEC!J12</f>
        <v>180000</v>
      </c>
      <c r="I12" s="12">
        <f>JAN!K12+FEB!K12+MAR!K12+APR!K12+MAY!K12+JUNE!K12+JULY!K12+AUG!K12+SEP!K12+OCT!K12+NOV!K12+DEC!K12</f>
        <v>288</v>
      </c>
      <c r="J12" s="24">
        <f t="shared" si="1"/>
        <v>625</v>
      </c>
      <c r="K12" s="12">
        <f>JAN!M12+FEB!M12+MAR!M12+APR!M12+MAY!M12+JUNE!M12+JULY!M12+AUG!M12+SEP!M12+OCT!M12+NOV!M12+DEC!M12</f>
        <v>86400</v>
      </c>
      <c r="L12" s="12">
        <f>JAN!N12+FEB!N12+MAR!N12+APR!N12+MAY!N12+JUNE!N12+JULY!N12+AUG!N12+SEP!N12+OCT!N12+NOV!N12+DEC!N12</f>
        <v>420</v>
      </c>
      <c r="M12" s="24">
        <f t="shared" si="2"/>
        <v>205.71428571428572</v>
      </c>
      <c r="N12" s="12">
        <f>JAN!P12+FEB!P12+MAR!P12+APR!P12+MAY!P12+JUNE!P12+JULY!P12+AUG!P12+SEP!P12+OCT!P12+NOV!P12+DEC!P12</f>
        <v>42288</v>
      </c>
      <c r="O12" s="12">
        <f>JAN!Q12+FEB!Q12+MAR!Q12+APR!Q12+MAY!Q12+JUNE!Q12+JULY!Q12+AUG!Q12+SEP!Q12+OCT!Q12+NOV!Q12+DEC!Q12</f>
        <v>432</v>
      </c>
      <c r="P12" s="24">
        <f t="shared" si="3"/>
        <v>97.888888888888886</v>
      </c>
      <c r="Q12" s="25">
        <f>JAN!S12+FEB!S12+MAR!S12+APR!S12+MAY!S12+JUNE!S12+JULY!S12+AUG!S12+SEP!S12+OCT!S12+NOV!S12+DEC!S12</f>
        <v>240000</v>
      </c>
      <c r="R12" s="25">
        <f t="shared" si="4"/>
        <v>308688</v>
      </c>
      <c r="S12" s="25">
        <f t="shared" si="5"/>
        <v>1140</v>
      </c>
      <c r="T12" s="26">
        <f t="shared" si="6"/>
        <v>270.77894736842103</v>
      </c>
      <c r="U12" s="25">
        <f t="shared" si="7"/>
        <v>68688</v>
      </c>
      <c r="V12" s="27">
        <f t="shared" si="8"/>
        <v>1.2862</v>
      </c>
    </row>
    <row r="13" spans="2:22" ht="16.2" thickBot="1" x14ac:dyDescent="0.35">
      <c r="B13" s="4"/>
      <c r="C13" s="5" t="s">
        <v>15</v>
      </c>
      <c r="D13" s="19">
        <f>JAN!D13+FEB!D13+MAR!D13+APR!D13+MAY!D13+JUNE!D13+JULY!D13+AUG!D13+SEP!D13+OCT!D13+NOV!D13+DEC!D13</f>
        <v>52</v>
      </c>
      <c r="E13" s="6"/>
      <c r="G13" s="12">
        <v>10</v>
      </c>
      <c r="H13" s="12">
        <f>JAN!J13+FEB!J13+MAR!J13+APR!J13+MAY!J13+JUNE!J13+JULY!J13+AUG!J13+SEP!J13+OCT!J13+NOV!J13+DEC!J13</f>
        <v>144000</v>
      </c>
      <c r="I13" s="12">
        <f>JAN!K13+FEB!K13+MAR!K13+APR!K13+MAY!K13+JUNE!K13+JULY!K13+AUG!K13+SEP!K13+OCT!K13+NOV!K13+DEC!K13</f>
        <v>540</v>
      </c>
      <c r="J13" s="24">
        <f t="shared" si="1"/>
        <v>266.66666666666669</v>
      </c>
      <c r="K13" s="12">
        <f>JAN!M13+FEB!M13+MAR!M13+APR!M13+MAY!M13+JUNE!M13+JULY!M13+AUG!M13+SEP!M13+OCT!M13+NOV!M13+DEC!M13</f>
        <v>82800</v>
      </c>
      <c r="L13" s="12">
        <f>JAN!N13+FEB!N13+MAR!N13+APR!N13+MAY!N13+JUNE!N13+JULY!N13+AUG!N13+SEP!N13+OCT!N13+NOV!N13+DEC!N13</f>
        <v>600</v>
      </c>
      <c r="M13" s="24">
        <f t="shared" si="2"/>
        <v>138</v>
      </c>
      <c r="N13" s="12">
        <f>JAN!P13+FEB!P13+MAR!P13+APR!P13+MAY!P13+JUNE!P13+JULY!P13+AUG!P13+SEP!P13+OCT!P13+NOV!P13+DEC!P13</f>
        <v>43452</v>
      </c>
      <c r="O13" s="12">
        <f>JAN!Q13+FEB!Q13+MAR!Q13+APR!Q13+MAY!Q13+JUNE!Q13+JULY!Q13+AUG!Q13+SEP!Q13+OCT!Q13+NOV!Q13+DEC!Q13</f>
        <v>408</v>
      </c>
      <c r="P13" s="24">
        <f t="shared" si="3"/>
        <v>106.5</v>
      </c>
      <c r="Q13" s="25">
        <f>JAN!S13+FEB!S13+MAR!S13+APR!S13+MAY!S13+JUNE!S13+JULY!S13+AUG!S13+SEP!S13+OCT!S13+NOV!S13+DEC!S13</f>
        <v>240000</v>
      </c>
      <c r="R13" s="25">
        <f t="shared" si="4"/>
        <v>270252</v>
      </c>
      <c r="S13" s="25">
        <f t="shared" si="5"/>
        <v>1548</v>
      </c>
      <c r="T13" s="26">
        <f t="shared" si="6"/>
        <v>174.58139534883722</v>
      </c>
      <c r="U13" s="25">
        <f t="shared" si="7"/>
        <v>30252</v>
      </c>
      <c r="V13" s="27">
        <f t="shared" si="8"/>
        <v>1.12605</v>
      </c>
    </row>
    <row r="14" spans="2:22" ht="16.2" thickBot="1" x14ac:dyDescent="0.35">
      <c r="B14" s="4"/>
      <c r="C14" s="5" t="s">
        <v>16</v>
      </c>
      <c r="D14" s="19">
        <f>JAN!D14+FEB!D14+MAR!D14+APR!D14+MAY!D14+JUNE!D14+JULY!D14+AUG!D14+SEP!D14+OCT!D14+NOV!D14+DEC!D14</f>
        <v>52</v>
      </c>
      <c r="E14" s="6"/>
      <c r="G14" s="12">
        <v>11</v>
      </c>
      <c r="H14" s="12">
        <f>JAN!J14+FEB!J14+MAR!J14+APR!J14+MAY!J14+JUNE!J14+JULY!J14+AUG!J14+SEP!J14+OCT!J14+NOV!J14+DEC!J14</f>
        <v>168000</v>
      </c>
      <c r="I14" s="12">
        <f>JAN!K14+FEB!K14+MAR!K14+APR!K14+MAY!K14+JUNE!K14+JULY!K14+AUG!K14+SEP!K14+OCT!K14+NOV!K14+DEC!K14</f>
        <v>552</v>
      </c>
      <c r="J14" s="24">
        <f t="shared" si="1"/>
        <v>304.3478260869565</v>
      </c>
      <c r="K14" s="12">
        <f>JAN!M14+FEB!M14+MAR!M14+APR!M14+MAY!M14+JUNE!M14+JULY!M14+AUG!M14+SEP!M14+OCT!M14+NOV!M14+DEC!M14</f>
        <v>70800</v>
      </c>
      <c r="L14" s="12">
        <f>JAN!N14+FEB!N14+MAR!N14+APR!N14+MAY!N14+JUNE!N14+JULY!N14+AUG!N14+SEP!N14+OCT!N14+NOV!N14+DEC!N14</f>
        <v>480</v>
      </c>
      <c r="M14" s="24">
        <f t="shared" si="2"/>
        <v>147.5</v>
      </c>
      <c r="N14" s="12">
        <f>JAN!P14+FEB!P14+MAR!P14+APR!P14+MAY!P14+JUNE!P14+JULY!P14+AUG!P14+SEP!P14+OCT!P14+NOV!P14+DEC!P14</f>
        <v>14400</v>
      </c>
      <c r="O14" s="12">
        <f>JAN!Q14+FEB!Q14+MAR!Q14+APR!Q14+MAY!Q14+JUNE!Q14+JULY!Q14+AUG!Q14+SEP!Q14+OCT!Q14+NOV!Q14+DEC!Q14</f>
        <v>540</v>
      </c>
      <c r="P14" s="24">
        <f t="shared" si="3"/>
        <v>26.666666666666668</v>
      </c>
      <c r="Q14" s="25">
        <f>JAN!S14+FEB!S14+MAR!S14+APR!S14+MAY!S14+JUNE!S14+JULY!S14+AUG!S14+SEP!S14+OCT!S14+NOV!S14+DEC!S14</f>
        <v>240000</v>
      </c>
      <c r="R14" s="25">
        <f t="shared" si="4"/>
        <v>253200</v>
      </c>
      <c r="S14" s="25">
        <f t="shared" si="5"/>
        <v>1572</v>
      </c>
      <c r="T14" s="26">
        <f t="shared" si="6"/>
        <v>161.06870229007635</v>
      </c>
      <c r="U14" s="25">
        <f t="shared" si="7"/>
        <v>13200</v>
      </c>
      <c r="V14" s="27">
        <f t="shared" si="8"/>
        <v>1.0549999999999999</v>
      </c>
    </row>
    <row r="15" spans="2:22" ht="16.2" thickBot="1" x14ac:dyDescent="0.35">
      <c r="B15" s="4"/>
      <c r="C15" s="5"/>
      <c r="D15" s="28"/>
      <c r="E15" s="6"/>
      <c r="G15" s="12">
        <v>12</v>
      </c>
      <c r="H15" s="12">
        <f>JAN!J15+FEB!J15+MAR!J15+APR!J15+MAY!J15+JUNE!J15+JULY!J15+AUG!J15+SEP!J15+OCT!J15+NOV!J15+DEC!J15</f>
        <v>132000</v>
      </c>
      <c r="I15" s="12">
        <f>JAN!K15+FEB!K15+MAR!K15+APR!K15+MAY!K15+JUNE!K15+JULY!K15+AUG!K15+SEP!K15+OCT!K15+NOV!K15+DEC!K15</f>
        <v>420</v>
      </c>
      <c r="J15" s="24">
        <f t="shared" si="1"/>
        <v>314.28571428571428</v>
      </c>
      <c r="K15" s="12">
        <f>JAN!M15+FEB!M15+MAR!M15+APR!M15+MAY!M15+JUNE!M15+JULY!M15+AUG!M15+SEP!M15+OCT!M15+NOV!M15+DEC!M15</f>
        <v>90000</v>
      </c>
      <c r="L15" s="12">
        <f>JAN!N15+FEB!N15+MAR!N15+APR!N15+MAY!N15+JUNE!N15+JULY!N15+AUG!N15+SEP!N15+OCT!N15+NOV!N15+DEC!N15</f>
        <v>432</v>
      </c>
      <c r="M15" s="24">
        <f t="shared" si="2"/>
        <v>208.33333333333334</v>
      </c>
      <c r="N15" s="12">
        <f>JAN!P15+FEB!P15+MAR!P15+APR!P15+MAY!P15+JUNE!P15+JULY!P15+AUG!P15+SEP!P15+OCT!P15+NOV!P15+DEC!P15</f>
        <v>10200</v>
      </c>
      <c r="O15" s="12">
        <f>JAN!Q15+FEB!Q15+MAR!Q15+APR!Q15+MAY!Q15+JUNE!Q15+JULY!Q15+AUG!Q15+SEP!Q15+OCT!Q15+NOV!Q15+DEC!Q15</f>
        <v>552</v>
      </c>
      <c r="P15" s="24">
        <f t="shared" si="3"/>
        <v>18.478260869565219</v>
      </c>
      <c r="Q15" s="25">
        <f>JAN!S15+FEB!S15+MAR!S15+APR!S15+MAY!S15+JUNE!S15+JULY!S15+AUG!S15+SEP!S15+OCT!S15+NOV!S15+DEC!S15</f>
        <v>240000</v>
      </c>
      <c r="R15" s="25">
        <f t="shared" si="4"/>
        <v>232200</v>
      </c>
      <c r="S15" s="25">
        <f t="shared" si="5"/>
        <v>1404</v>
      </c>
      <c r="T15" s="26">
        <f t="shared" si="6"/>
        <v>165.38461538461539</v>
      </c>
      <c r="U15" s="25">
        <f t="shared" si="7"/>
        <v>-7800</v>
      </c>
      <c r="V15" s="27">
        <f t="shared" si="8"/>
        <v>0.96750000000000003</v>
      </c>
    </row>
    <row r="16" spans="2:22" ht="16.2" thickBot="1" x14ac:dyDescent="0.35">
      <c r="B16" s="4"/>
      <c r="C16" s="5" t="s">
        <v>17</v>
      </c>
      <c r="D16" s="19">
        <f>MAX(R4:R34)</f>
        <v>336000</v>
      </c>
      <c r="E16" s="6"/>
      <c r="G16" s="12">
        <v>13</v>
      </c>
      <c r="H16" s="12">
        <f>JAN!J16+FEB!J16+MAR!J16+APR!J16+MAY!J16+JUNE!J16+JULY!J16+AUG!J16+SEP!J16+OCT!J16+NOV!J16+DEC!J16</f>
        <v>120000</v>
      </c>
      <c r="I16" s="12">
        <f>JAN!K16+FEB!K16+MAR!K16+APR!K16+MAY!K16+JUNE!K16+JULY!K16+AUG!K16+SEP!K16+OCT!K16+NOV!K16+DEC!K16</f>
        <v>600</v>
      </c>
      <c r="J16" s="24">
        <f t="shared" si="1"/>
        <v>200</v>
      </c>
      <c r="K16" s="12">
        <f>JAN!M16+FEB!M16+MAR!M16+APR!M16+MAY!M16+JUNE!M16+JULY!M16+AUG!M16+SEP!M16+OCT!M16+NOV!M16+DEC!M16</f>
        <v>69600</v>
      </c>
      <c r="L16" s="12">
        <f>JAN!N16+FEB!N16+MAR!N16+APR!N16+MAY!N16+JUNE!N16+JULY!N16+AUG!N16+SEP!N16+OCT!N16+NOV!N16+DEC!N16</f>
        <v>408</v>
      </c>
      <c r="M16" s="24">
        <f t="shared" si="2"/>
        <v>170.58823529411765</v>
      </c>
      <c r="N16" s="12">
        <f>JAN!P16+FEB!P16+MAR!P16+APR!P16+MAY!P16+JUNE!P16+JULY!P16+AUG!P16+SEP!P16+OCT!P16+NOV!P16+DEC!P16</f>
        <v>17052</v>
      </c>
      <c r="O16" s="12">
        <f>JAN!Q16+FEB!Q16+MAR!Q16+APR!Q16+MAY!Q16+JUNE!Q16+JULY!Q16+AUG!Q16+SEP!Q16+OCT!Q16+NOV!Q16+DEC!Q16</f>
        <v>420</v>
      </c>
      <c r="P16" s="24">
        <f t="shared" si="3"/>
        <v>40.6</v>
      </c>
      <c r="Q16" s="25">
        <f>JAN!S16+FEB!S16+MAR!S16+APR!S16+MAY!S16+JUNE!S16+JULY!S16+AUG!S16+SEP!S16+OCT!S16+NOV!S16+DEC!S16</f>
        <v>240000</v>
      </c>
      <c r="R16" s="25">
        <f t="shared" si="4"/>
        <v>206652</v>
      </c>
      <c r="S16" s="25">
        <f t="shared" si="5"/>
        <v>1428</v>
      </c>
      <c r="T16" s="26">
        <f t="shared" si="6"/>
        <v>144.71428571428572</v>
      </c>
      <c r="U16" s="25">
        <f t="shared" si="7"/>
        <v>-33348</v>
      </c>
      <c r="V16" s="27">
        <f t="shared" si="8"/>
        <v>0.86104999999999998</v>
      </c>
    </row>
    <row r="17" spans="2:22" ht="16.2" thickBot="1" x14ac:dyDescent="0.35">
      <c r="B17" s="4"/>
      <c r="C17" s="5"/>
      <c r="D17" s="28"/>
      <c r="E17" s="6"/>
      <c r="G17" s="12">
        <v>14</v>
      </c>
      <c r="H17" s="12">
        <f>JAN!J17+FEB!J17+MAR!J17+APR!J17+MAY!J17+JUNE!J17+JULY!J17+AUG!J17+SEP!J17+OCT!J17+NOV!J17+DEC!J17</f>
        <v>192000</v>
      </c>
      <c r="I17" s="12">
        <f>JAN!K17+FEB!K17+MAR!K17+APR!K17+MAY!K17+JUNE!K17+JULY!K17+AUG!K17+SEP!K17+OCT!K17+NOV!K17+DEC!K17</f>
        <v>480</v>
      </c>
      <c r="J17" s="24">
        <f t="shared" si="1"/>
        <v>400</v>
      </c>
      <c r="K17" s="12">
        <f>JAN!M17+FEB!M17+MAR!M17+APR!M17+MAY!M17+JUNE!M17+JULY!M17+AUG!M17+SEP!M17+OCT!M17+NOV!M17+DEC!M17</f>
        <v>54000</v>
      </c>
      <c r="L17" s="12">
        <f>JAN!N17+FEB!N17+MAR!N17+APR!N17+MAY!N17+JUNE!N17+JULY!N17+AUG!N17+SEP!N17+OCT!N17+NOV!N17+DEC!N17</f>
        <v>540</v>
      </c>
      <c r="M17" s="24">
        <f t="shared" si="2"/>
        <v>100</v>
      </c>
      <c r="N17" s="12">
        <f>JAN!P17+FEB!P17+MAR!P17+APR!P17+MAY!P17+JUNE!P17+JULY!P17+AUG!P17+SEP!P17+OCT!P17+NOV!P17+DEC!P17</f>
        <v>18744</v>
      </c>
      <c r="O17" s="12">
        <f>JAN!Q17+FEB!Q17+MAR!Q17+APR!Q17+MAY!Q17+JUNE!Q17+JULY!Q17+AUG!Q17+SEP!Q17+OCT!Q17+NOV!Q17+DEC!Q17</f>
        <v>600</v>
      </c>
      <c r="P17" s="24">
        <f t="shared" si="3"/>
        <v>31.24</v>
      </c>
      <c r="Q17" s="25">
        <f>JAN!S17+FEB!S17+MAR!S17+APR!S17+MAY!S17+JUNE!S17+JULY!S17+AUG!S17+SEP!S17+OCT!S17+NOV!S17+DEC!S17</f>
        <v>240000</v>
      </c>
      <c r="R17" s="25">
        <f t="shared" si="4"/>
        <v>264744</v>
      </c>
      <c r="S17" s="25">
        <f t="shared" si="5"/>
        <v>1620</v>
      </c>
      <c r="T17" s="26">
        <f t="shared" si="6"/>
        <v>163.42222222222222</v>
      </c>
      <c r="U17" s="25">
        <f t="shared" si="7"/>
        <v>24744</v>
      </c>
      <c r="V17" s="27">
        <f t="shared" si="8"/>
        <v>1.1031</v>
      </c>
    </row>
    <row r="18" spans="2:22" ht="16.2" thickBot="1" x14ac:dyDescent="0.35">
      <c r="B18" s="4"/>
      <c r="C18" s="5" t="s">
        <v>18</v>
      </c>
      <c r="D18" s="19">
        <f>MIN(R4:R34)</f>
        <v>195600</v>
      </c>
      <c r="E18" s="6"/>
      <c r="G18" s="12">
        <v>15</v>
      </c>
      <c r="H18" s="12">
        <f>JAN!J18+FEB!J18+MAR!J18+APR!J18+MAY!J18+JUNE!J18+JULY!J18+AUG!J18+SEP!J18+OCT!J18+NOV!J18+DEC!J18</f>
        <v>144000</v>
      </c>
      <c r="I18" s="12">
        <f>JAN!K18+FEB!K18+MAR!K18+APR!K18+MAY!K18+JUNE!K18+JULY!K18+AUG!K18+SEP!K18+OCT!K18+NOV!K18+DEC!K18</f>
        <v>432</v>
      </c>
      <c r="J18" s="24">
        <f t="shared" si="1"/>
        <v>333.33333333333331</v>
      </c>
      <c r="K18" s="12">
        <f>JAN!M18+FEB!M18+MAR!M18+APR!M18+MAY!M18+JUNE!M18+JULY!M18+AUG!M18+SEP!M18+OCT!M18+NOV!M18+DEC!M18</f>
        <v>58800</v>
      </c>
      <c r="L18" s="12">
        <f>JAN!N18+FEB!N18+MAR!N18+APR!N18+MAY!N18+JUNE!N18+JULY!N18+AUG!N18+SEP!N18+OCT!N18+NOV!N18+DEC!N18</f>
        <v>552</v>
      </c>
      <c r="M18" s="24">
        <f t="shared" si="2"/>
        <v>106.52173913043478</v>
      </c>
      <c r="N18" s="12">
        <f>JAN!P18+FEB!P18+MAR!P18+APR!P18+MAY!P18+JUNE!P18+JULY!P18+AUG!P18+SEP!P18+OCT!P18+NOV!P18+DEC!P18</f>
        <v>22800</v>
      </c>
      <c r="O18" s="12">
        <f>JAN!Q18+FEB!Q18+MAR!Q18+APR!Q18+MAY!Q18+JUNE!Q18+JULY!Q18+AUG!Q18+SEP!Q18+OCT!Q18+NOV!Q18+DEC!Q18</f>
        <v>480</v>
      </c>
      <c r="P18" s="24">
        <f t="shared" si="3"/>
        <v>47.5</v>
      </c>
      <c r="Q18" s="25">
        <f>JAN!S18+FEB!S18+MAR!S18+APR!S18+MAY!S18+JUNE!S18+JULY!S18+AUG!S18+SEP!S18+OCT!S18+NOV!S18+DEC!S18</f>
        <v>240000</v>
      </c>
      <c r="R18" s="25">
        <f t="shared" si="4"/>
        <v>225600</v>
      </c>
      <c r="S18" s="25">
        <f t="shared" si="5"/>
        <v>1464</v>
      </c>
      <c r="T18" s="26">
        <f t="shared" si="6"/>
        <v>154.09836065573771</v>
      </c>
      <c r="U18" s="25">
        <f t="shared" si="7"/>
        <v>-14400</v>
      </c>
      <c r="V18" s="27">
        <f t="shared" si="8"/>
        <v>0.94</v>
      </c>
    </row>
    <row r="19" spans="2:22" ht="16.2" thickBot="1" x14ac:dyDescent="0.35">
      <c r="B19" s="4"/>
      <c r="C19" s="5"/>
      <c r="D19" s="28"/>
      <c r="E19" s="6"/>
      <c r="G19" s="12">
        <v>16</v>
      </c>
      <c r="H19" s="12">
        <f>JAN!J19+FEB!J19+MAR!J19+APR!J19+MAY!J19+JUNE!J19+JULY!J19+AUG!J19+SEP!J19+OCT!J19+NOV!J19+DEC!J19</f>
        <v>132000</v>
      </c>
      <c r="I19" s="12">
        <f>JAN!K19+FEB!K19+MAR!K19+APR!K19+MAY!K19+JUNE!K19+JULY!K19+AUG!K19+SEP!K19+OCT!K19+NOV!K19+DEC!K19</f>
        <v>408</v>
      </c>
      <c r="J19" s="24">
        <f t="shared" si="1"/>
        <v>323.52941176470586</v>
      </c>
      <c r="K19" s="12">
        <f>JAN!M19+FEB!M19+MAR!M19+APR!M19+MAY!M19+JUNE!M19+JULY!M19+AUG!M19+SEP!M19+OCT!M19+NOV!M19+DEC!M19</f>
        <v>38400</v>
      </c>
      <c r="L19" s="12">
        <f>JAN!N19+FEB!N19+MAR!N19+APR!N19+MAY!N19+JUNE!N19+JULY!N19+AUG!N19+SEP!N19+OCT!N19+NOV!N19+DEC!N19</f>
        <v>420</v>
      </c>
      <c r="M19" s="24">
        <f t="shared" si="2"/>
        <v>91.428571428571431</v>
      </c>
      <c r="N19" s="12">
        <f>JAN!P19+FEB!P19+MAR!P19+APR!P19+MAY!P19+JUNE!P19+JULY!P19+AUG!P19+SEP!P19+OCT!P19+NOV!P19+DEC!P19</f>
        <v>25200</v>
      </c>
      <c r="O19" s="12">
        <f>JAN!Q19+FEB!Q19+MAR!Q19+APR!Q19+MAY!Q19+JUNE!Q19+JULY!Q19+AUG!Q19+SEP!Q19+OCT!Q19+NOV!Q19+DEC!Q19</f>
        <v>432</v>
      </c>
      <c r="P19" s="24">
        <f t="shared" si="3"/>
        <v>58.333333333333336</v>
      </c>
      <c r="Q19" s="25">
        <f>JAN!S19+FEB!S19+MAR!S19+APR!S19+MAY!S19+JUNE!S19+JULY!S19+AUG!S19+SEP!S19+OCT!S19+NOV!S19+DEC!S19</f>
        <v>240000</v>
      </c>
      <c r="R19" s="25">
        <f t="shared" si="4"/>
        <v>195600</v>
      </c>
      <c r="S19" s="25">
        <f t="shared" si="5"/>
        <v>1260</v>
      </c>
      <c r="T19" s="26">
        <f t="shared" si="6"/>
        <v>155.23809523809524</v>
      </c>
      <c r="U19" s="25">
        <f t="shared" si="7"/>
        <v>-44400</v>
      </c>
      <c r="V19" s="27">
        <f t="shared" si="8"/>
        <v>0.81499999999999995</v>
      </c>
    </row>
    <row r="20" spans="2:22" ht="16.2" thickBot="1" x14ac:dyDescent="0.35">
      <c r="B20" s="4"/>
      <c r="C20" s="5" t="s">
        <v>19</v>
      </c>
      <c r="D20" s="19" t="str">
        <f>IF(R35&gt;Q35,"Yes","No")</f>
        <v>Yes</v>
      </c>
      <c r="E20" s="6"/>
      <c r="G20" s="12">
        <v>17</v>
      </c>
      <c r="H20" s="12">
        <f>JAN!J20+FEB!J20+MAR!J20+APR!J20+MAY!J20+JUNE!J20+JULY!J20+AUG!J20+SEP!J20+OCT!J20+NOV!J20+DEC!J20</f>
        <v>180000</v>
      </c>
      <c r="I20" s="12">
        <f>JAN!K20+FEB!K20+MAR!K20+APR!K20+MAY!K20+JUNE!K20+JULY!K20+AUG!K20+SEP!K20+OCT!K20+NOV!K20+DEC!K20</f>
        <v>288</v>
      </c>
      <c r="J20" s="24">
        <f t="shared" si="1"/>
        <v>625</v>
      </c>
      <c r="K20" s="12">
        <f>JAN!M20+FEB!M20+MAR!M20+APR!M20+MAY!M20+JUNE!M20+JULY!M20+AUG!M20+SEP!M20+OCT!M20+NOV!M20+DEC!M20</f>
        <v>55200</v>
      </c>
      <c r="L20" s="12">
        <f>JAN!N20+FEB!N20+MAR!N20+APR!N20+MAY!N20+JUNE!N20+JULY!N20+AUG!N20+SEP!N20+OCT!N20+NOV!N20+DEC!N20</f>
        <v>600</v>
      </c>
      <c r="M20" s="24">
        <f t="shared" si="2"/>
        <v>92</v>
      </c>
      <c r="N20" s="12">
        <f>JAN!P20+FEB!P20+MAR!P20+APR!P20+MAY!P20+JUNE!P20+JULY!P20+AUG!P20+SEP!P20+OCT!P20+NOV!P20+DEC!P20</f>
        <v>25620</v>
      </c>
      <c r="O20" s="12">
        <f>JAN!Q20+FEB!Q20+MAR!Q20+APR!Q20+MAY!Q20+JUNE!Q20+JULY!Q20+AUG!Q20+SEP!Q20+OCT!Q20+NOV!Q20+DEC!Q20</f>
        <v>408</v>
      </c>
      <c r="P20" s="24">
        <f t="shared" si="3"/>
        <v>62.794117647058826</v>
      </c>
      <c r="Q20" s="25">
        <f>JAN!S20+FEB!S20+MAR!S20+APR!S20+MAY!S20+JUNE!S20+JULY!S20+AUG!S20+SEP!S20+OCT!S20+NOV!S20+DEC!S20</f>
        <v>240000</v>
      </c>
      <c r="R20" s="25">
        <f t="shared" si="4"/>
        <v>260820</v>
      </c>
      <c r="S20" s="25">
        <f t="shared" si="5"/>
        <v>1296</v>
      </c>
      <c r="T20" s="26">
        <f t="shared" si="6"/>
        <v>201.25</v>
      </c>
      <c r="U20" s="25">
        <f t="shared" si="7"/>
        <v>20820</v>
      </c>
      <c r="V20" s="27">
        <f t="shared" si="8"/>
        <v>1.0867500000000001</v>
      </c>
    </row>
    <row r="21" spans="2:22" ht="16.2" thickBot="1" x14ac:dyDescent="0.35">
      <c r="B21" s="4"/>
      <c r="C21" s="5"/>
      <c r="D21" s="28"/>
      <c r="E21" s="6"/>
      <c r="G21" s="12">
        <v>18</v>
      </c>
      <c r="H21" s="12">
        <f>JAN!J21+FEB!J21+MAR!J21+APR!J21+MAY!J21+JUNE!J21+JULY!J21+AUG!J21+SEP!J21+OCT!J21+NOV!J21+DEC!J21</f>
        <v>144000</v>
      </c>
      <c r="I21" s="12">
        <f>JAN!K21+FEB!K21+MAR!K21+APR!K21+MAY!K21+JUNE!K21+JULY!K21+AUG!K21+SEP!K21+OCT!K21+NOV!K21+DEC!K21</f>
        <v>540</v>
      </c>
      <c r="J21" s="24">
        <f t="shared" si="1"/>
        <v>266.66666666666669</v>
      </c>
      <c r="K21" s="12">
        <f>JAN!M21+FEB!M21+MAR!M21+APR!M21+MAY!M21+JUNE!M21+JULY!M21+AUG!M21+SEP!M21+OCT!M21+NOV!M21+DEC!M21</f>
        <v>67200</v>
      </c>
      <c r="L21" s="12">
        <f>JAN!N21+FEB!N21+MAR!N21+APR!N21+MAY!N21+JUNE!N21+JULY!N21+AUG!N21+SEP!N21+OCT!N21+NOV!N21+DEC!N21</f>
        <v>480</v>
      </c>
      <c r="M21" s="24">
        <f t="shared" si="2"/>
        <v>140</v>
      </c>
      <c r="N21" s="12">
        <f>JAN!P21+FEB!P21+MAR!P21+APR!P21+MAY!P21+JUNE!P21+JULY!P21+AUG!P21+SEP!P21+OCT!P21+NOV!P21+DEC!P21</f>
        <v>28344</v>
      </c>
      <c r="O21" s="12">
        <f>JAN!Q21+FEB!Q21+MAR!Q21+APR!Q21+MAY!Q21+JUNE!Q21+JULY!Q21+AUG!Q21+SEP!Q21+OCT!Q21+NOV!Q21+DEC!Q21</f>
        <v>288</v>
      </c>
      <c r="P21" s="24">
        <f t="shared" si="3"/>
        <v>98.416666666666671</v>
      </c>
      <c r="Q21" s="25">
        <f>JAN!S21+FEB!S21+MAR!S21+APR!S21+MAY!S21+JUNE!S21+JULY!S21+AUG!S21+SEP!S21+OCT!S21+NOV!S21+DEC!S21</f>
        <v>240000</v>
      </c>
      <c r="R21" s="25">
        <f t="shared" si="4"/>
        <v>239544</v>
      </c>
      <c r="S21" s="25">
        <f t="shared" si="5"/>
        <v>1308</v>
      </c>
      <c r="T21" s="26">
        <f t="shared" si="6"/>
        <v>183.13761467889907</v>
      </c>
      <c r="U21" s="25">
        <f t="shared" si="7"/>
        <v>-456</v>
      </c>
      <c r="V21" s="27">
        <f t="shared" si="8"/>
        <v>0.99809999999999999</v>
      </c>
    </row>
    <row r="22" spans="2:22" ht="16.2" thickBot="1" x14ac:dyDescent="0.35">
      <c r="B22" s="4"/>
      <c r="C22" s="5" t="s">
        <v>20</v>
      </c>
      <c r="D22" s="19">
        <f>R35</f>
        <v>7826964</v>
      </c>
      <c r="E22" s="6"/>
      <c r="G22" s="12">
        <v>19</v>
      </c>
      <c r="H22" s="12">
        <f>JAN!J22+FEB!J22+MAR!J22+APR!J22+MAY!J22+JUNE!J22+JULY!J22+AUG!J22+SEP!J22+OCT!J22+NOV!J22+DEC!J22</f>
        <v>168000</v>
      </c>
      <c r="I22" s="12">
        <f>JAN!K22+FEB!K22+MAR!K22+APR!K22+MAY!K22+JUNE!K22+JULY!K22+AUG!K22+SEP!K22+OCT!K22+NOV!K22+DEC!K22</f>
        <v>552</v>
      </c>
      <c r="J22" s="24">
        <f t="shared" si="1"/>
        <v>304.3478260869565</v>
      </c>
      <c r="K22" s="12">
        <f>JAN!M22+FEB!M22+MAR!M22+APR!M22+MAY!M22+JUNE!M22+JULY!M22+AUG!M22+SEP!M22+OCT!M22+NOV!M22+DEC!M22</f>
        <v>54000</v>
      </c>
      <c r="L22" s="12">
        <f>JAN!N22+FEB!N22+MAR!N22+APR!N22+MAY!N22+JUNE!N22+JULY!N22+AUG!N22+SEP!N22+OCT!N22+NOV!N22+DEC!N22</f>
        <v>432</v>
      </c>
      <c r="M22" s="24">
        <f t="shared" si="2"/>
        <v>125</v>
      </c>
      <c r="N22" s="12">
        <f>JAN!P22+FEB!P22+MAR!P22+APR!P22+MAY!P22+JUNE!P22+JULY!P22+AUG!P22+SEP!P22+OCT!P22+NOV!P22+DEC!P22</f>
        <v>42252</v>
      </c>
      <c r="O22" s="12">
        <f>JAN!Q22+FEB!Q22+MAR!Q22+APR!Q22+MAY!Q22+JUNE!Q22+JULY!Q22+AUG!Q22+SEP!Q22+OCT!Q22+NOV!Q22+DEC!Q22</f>
        <v>540</v>
      </c>
      <c r="P22" s="24">
        <f t="shared" si="3"/>
        <v>78.24444444444444</v>
      </c>
      <c r="Q22" s="25">
        <f>JAN!S22+FEB!S22+MAR!S22+APR!S22+MAY!S22+JUNE!S22+JULY!S22+AUG!S22+SEP!S22+OCT!S22+NOV!S22+DEC!S22</f>
        <v>240000</v>
      </c>
      <c r="R22" s="25">
        <f t="shared" si="4"/>
        <v>264252</v>
      </c>
      <c r="S22" s="25">
        <f t="shared" si="5"/>
        <v>1524</v>
      </c>
      <c r="T22" s="26">
        <f t="shared" si="6"/>
        <v>173.39370078740157</v>
      </c>
      <c r="U22" s="25">
        <f t="shared" si="7"/>
        <v>24252</v>
      </c>
      <c r="V22" s="27">
        <f t="shared" si="8"/>
        <v>1.1010500000000001</v>
      </c>
    </row>
    <row r="23" spans="2:22" ht="16.2" thickBot="1" x14ac:dyDescent="0.35">
      <c r="B23" s="4"/>
      <c r="C23" s="5"/>
      <c r="D23" s="28"/>
      <c r="E23" s="6"/>
      <c r="G23" s="12">
        <v>20</v>
      </c>
      <c r="H23" s="12">
        <f>JAN!J23+FEB!J23+MAR!J23+APR!J23+MAY!J23+JUNE!J23+JULY!J23+AUG!J23+SEP!J23+OCT!J23+NOV!J23+DEC!J23</f>
        <v>132000</v>
      </c>
      <c r="I23" s="12">
        <f>JAN!K23+FEB!K23+MAR!K23+APR!K23+MAY!K23+JUNE!K23+JULY!K23+AUG!K23+SEP!K23+OCT!K23+NOV!K23+DEC!K23</f>
        <v>420</v>
      </c>
      <c r="J23" s="24">
        <f t="shared" si="1"/>
        <v>314.28571428571428</v>
      </c>
      <c r="K23" s="12">
        <f>JAN!M23+FEB!M23+MAR!M23+APR!M23+MAY!M23+JUNE!M23+JULY!M23+AUG!M23+SEP!M23+OCT!M23+NOV!M23+DEC!M23</f>
        <v>90000</v>
      </c>
      <c r="L23" s="12">
        <f>JAN!N23+FEB!N23+MAR!N23+APR!N23+MAY!N23+JUNE!N23+JULY!N23+AUG!N23+SEP!N23+OCT!N23+NOV!N23+DEC!N23</f>
        <v>408</v>
      </c>
      <c r="M23" s="24">
        <f t="shared" si="2"/>
        <v>220.58823529411765</v>
      </c>
      <c r="N23" s="12">
        <f>JAN!P23+FEB!P23+MAR!P23+APR!P23+MAY!P23+JUNE!P23+JULY!P23+AUG!P23+SEP!P23+OCT!P23+NOV!P23+DEC!P23</f>
        <v>39048</v>
      </c>
      <c r="O23" s="12">
        <f>JAN!Q23+FEB!Q23+MAR!Q23+APR!Q23+MAY!Q23+JUNE!Q23+JULY!Q23+AUG!Q23+SEP!Q23+OCT!Q23+NOV!Q23+DEC!Q23</f>
        <v>552</v>
      </c>
      <c r="P23" s="24">
        <f t="shared" si="3"/>
        <v>70.739130434782609</v>
      </c>
      <c r="Q23" s="25">
        <f>JAN!S23+FEB!S23+MAR!S23+APR!S23+MAY!S23+JUNE!S23+JULY!S23+AUG!S23+SEP!S23+OCT!S23+NOV!S23+DEC!S23</f>
        <v>240000</v>
      </c>
      <c r="R23" s="25">
        <f t="shared" si="4"/>
        <v>261048</v>
      </c>
      <c r="S23" s="25">
        <f t="shared" si="5"/>
        <v>1380</v>
      </c>
      <c r="T23" s="26">
        <f t="shared" si="6"/>
        <v>189.16521739130434</v>
      </c>
      <c r="U23" s="25">
        <f t="shared" si="7"/>
        <v>21048</v>
      </c>
      <c r="V23" s="27">
        <f t="shared" si="8"/>
        <v>1.0876999999999999</v>
      </c>
    </row>
    <row r="24" spans="2:22" ht="16.2" thickBot="1" x14ac:dyDescent="0.35">
      <c r="B24" s="4"/>
      <c r="C24" s="5" t="s">
        <v>21</v>
      </c>
      <c r="D24" s="37">
        <f>AVERAGE(R4:R34)</f>
        <v>252482.70967741936</v>
      </c>
      <c r="E24" s="6"/>
      <c r="G24" s="12">
        <v>21</v>
      </c>
      <c r="H24" s="12">
        <f>JAN!J24+FEB!J24+MAR!J24+APR!J24+MAY!J24+JUNE!J24+JULY!J24+AUG!J24+SEP!J24+OCT!J24+NOV!J24+DEC!J24</f>
        <v>120000</v>
      </c>
      <c r="I24" s="12">
        <f>JAN!K24+FEB!K24+MAR!K24+APR!K24+MAY!K24+JUNE!K24+JULY!K24+AUG!K24+SEP!K24+OCT!K24+NOV!K24+DEC!K24</f>
        <v>600</v>
      </c>
      <c r="J24" s="24">
        <f t="shared" si="1"/>
        <v>200</v>
      </c>
      <c r="K24" s="12">
        <f>JAN!M24+FEB!M24+MAR!M24+APR!M24+MAY!M24+JUNE!M24+JULY!M24+AUG!M24+SEP!M24+OCT!M24+NOV!M24+DEC!M24</f>
        <v>70800</v>
      </c>
      <c r="L24" s="12">
        <f>JAN!N24+FEB!N24+MAR!N24+APR!N24+MAY!N24+JUNE!N24+JULY!N24+AUG!N24+SEP!N24+OCT!N24+NOV!N24+DEC!N24</f>
        <v>288</v>
      </c>
      <c r="M24" s="24">
        <f t="shared" si="2"/>
        <v>245.83333333333334</v>
      </c>
      <c r="N24" s="12">
        <f>JAN!P24+FEB!P24+MAR!P24+APR!P24+MAY!P24+JUNE!P24+JULY!P24+AUG!P24+SEP!P24+OCT!P24+NOV!P24+DEC!P24</f>
        <v>31812</v>
      </c>
      <c r="O24" s="12">
        <f>JAN!Q24+FEB!Q24+MAR!Q24+APR!Q24+MAY!Q24+JUNE!Q24+JULY!Q24+AUG!Q24+SEP!Q24+OCT!Q24+NOV!Q24+DEC!Q24</f>
        <v>420</v>
      </c>
      <c r="P24" s="24">
        <f t="shared" si="3"/>
        <v>75.742857142857147</v>
      </c>
      <c r="Q24" s="25">
        <f>JAN!S24+FEB!S24+MAR!S24+APR!S24+MAY!S24+JUNE!S24+JULY!S24+AUG!S24+SEP!S24+OCT!S24+NOV!S24+DEC!S24</f>
        <v>240000</v>
      </c>
      <c r="R24" s="25">
        <f t="shared" si="4"/>
        <v>222612</v>
      </c>
      <c r="S24" s="25">
        <f t="shared" si="5"/>
        <v>1308</v>
      </c>
      <c r="T24" s="26">
        <f t="shared" si="6"/>
        <v>170.19266055045873</v>
      </c>
      <c r="U24" s="25">
        <f t="shared" si="7"/>
        <v>-17388</v>
      </c>
      <c r="V24" s="27">
        <f t="shared" si="8"/>
        <v>0.92754999999999999</v>
      </c>
    </row>
    <row r="25" spans="2:22" ht="16.2" thickBot="1" x14ac:dyDescent="0.35">
      <c r="B25" s="4"/>
      <c r="C25" s="5"/>
      <c r="D25" s="28"/>
      <c r="E25" s="6"/>
      <c r="G25" s="12">
        <v>22</v>
      </c>
      <c r="H25" s="12">
        <f>JAN!J25+FEB!J25+MAR!J25+APR!J25+MAY!J25+JUNE!J25+JULY!J25+AUG!J25+SEP!J25+OCT!J25+NOV!J25+DEC!J25</f>
        <v>192000</v>
      </c>
      <c r="I25" s="12">
        <f>JAN!K25+FEB!K25+MAR!K25+APR!K25+MAY!K25+JUNE!K25+JULY!K25+AUG!K25+SEP!K25+OCT!K25+NOV!K25+DEC!K25</f>
        <v>480</v>
      </c>
      <c r="J25" s="24">
        <f t="shared" si="1"/>
        <v>400</v>
      </c>
      <c r="K25" s="12">
        <f>JAN!M25+FEB!M25+MAR!M25+APR!M25+MAY!M25+JUNE!M25+JULY!M25+AUG!M25+SEP!M25+OCT!M25+NOV!M25+DEC!M25</f>
        <v>74400</v>
      </c>
      <c r="L25" s="12">
        <f>JAN!N25+FEB!N25+MAR!N25+APR!N25+MAY!N25+JUNE!N25+JULY!N25+AUG!N25+SEP!N25+OCT!N25+NOV!N25+DEC!N25</f>
        <v>540</v>
      </c>
      <c r="M25" s="24">
        <f t="shared" si="2"/>
        <v>137.77777777777777</v>
      </c>
      <c r="N25" s="12">
        <f>JAN!P25+FEB!P25+MAR!P25+APR!P25+MAY!P25+JUNE!P25+JULY!P25+AUG!P25+SEP!P25+OCT!P25+NOV!P25+DEC!P25</f>
        <v>30576</v>
      </c>
      <c r="O25" s="12">
        <f>JAN!Q25+FEB!Q25+MAR!Q25+APR!Q25+MAY!Q25+JUNE!Q25+JULY!Q25+AUG!Q25+SEP!Q25+OCT!Q25+NOV!Q25+DEC!Q25</f>
        <v>600</v>
      </c>
      <c r="P25" s="24">
        <f t="shared" si="3"/>
        <v>50.96</v>
      </c>
      <c r="Q25" s="25">
        <f>JAN!S25+FEB!S25+MAR!S25+APR!S25+MAY!S25+JUNE!S25+JULY!S25+AUG!S25+SEP!S25+OCT!S25+NOV!S25+DEC!S25</f>
        <v>240000</v>
      </c>
      <c r="R25" s="25">
        <f t="shared" si="4"/>
        <v>296976</v>
      </c>
      <c r="S25" s="25">
        <f t="shared" si="5"/>
        <v>1620</v>
      </c>
      <c r="T25" s="26">
        <f t="shared" si="6"/>
        <v>183.31851851851852</v>
      </c>
      <c r="U25" s="25">
        <f t="shared" si="7"/>
        <v>56976</v>
      </c>
      <c r="V25" s="27">
        <f t="shared" si="8"/>
        <v>1.2374000000000001</v>
      </c>
    </row>
    <row r="26" spans="2:22" ht="16.2" thickBot="1" x14ac:dyDescent="0.35">
      <c r="B26" s="4"/>
      <c r="C26" s="5" t="s">
        <v>22</v>
      </c>
      <c r="D26" s="19">
        <f>H35</f>
        <v>4776000</v>
      </c>
      <c r="E26" s="6"/>
      <c r="G26" s="12">
        <v>23</v>
      </c>
      <c r="H26" s="12">
        <f>JAN!J26+FEB!J26+MAR!J26+APR!J26+MAY!J26+JUNE!J26+JULY!J26+AUG!J26+SEP!J26+OCT!J26+NOV!J26+DEC!J26</f>
        <v>144000</v>
      </c>
      <c r="I26" s="12">
        <f>JAN!K26+FEB!K26+MAR!K26+APR!K26+MAY!K26+JUNE!K26+JULY!K26+AUG!K26+SEP!K26+OCT!K26+NOV!K26+DEC!K26</f>
        <v>432</v>
      </c>
      <c r="J26" s="24">
        <f t="shared" si="1"/>
        <v>333.33333333333331</v>
      </c>
      <c r="K26" s="12">
        <f>JAN!M26+FEB!M26+MAR!M26+APR!M26+MAY!M26+JUNE!M26+JULY!M26+AUG!M26+SEP!M26+OCT!M26+NOV!M26+DEC!M26</f>
        <v>75852</v>
      </c>
      <c r="L26" s="12">
        <f>JAN!N26+FEB!N26+MAR!N26+APR!N26+MAY!N26+JUNE!N26+JULY!N26+AUG!N26+SEP!N26+OCT!N26+NOV!N26+DEC!N26</f>
        <v>552</v>
      </c>
      <c r="M26" s="24">
        <f t="shared" si="2"/>
        <v>137.41304347826087</v>
      </c>
      <c r="N26" s="12">
        <f>JAN!P26+FEB!P26+MAR!P26+APR!P26+MAY!P26+JUNE!P26+JULY!P26+AUG!P26+SEP!P26+OCT!P26+NOV!P26+DEC!P26</f>
        <v>11400</v>
      </c>
      <c r="O26" s="12">
        <f>JAN!Q26+FEB!Q26+MAR!Q26+APR!Q26+MAY!Q26+JUNE!Q26+JULY!Q26+AUG!Q26+SEP!Q26+OCT!Q26+NOV!Q26+DEC!Q26</f>
        <v>480</v>
      </c>
      <c r="P26" s="24">
        <f t="shared" si="3"/>
        <v>23.75</v>
      </c>
      <c r="Q26" s="25">
        <f>JAN!S26+FEB!S26+MAR!S26+APR!S26+MAY!S26+JUNE!S26+JULY!S26+AUG!S26+SEP!S26+OCT!S26+NOV!S26+DEC!S26</f>
        <v>240000</v>
      </c>
      <c r="R26" s="25">
        <f t="shared" si="4"/>
        <v>231252</v>
      </c>
      <c r="S26" s="25">
        <f t="shared" si="5"/>
        <v>1464</v>
      </c>
      <c r="T26" s="26">
        <f t="shared" si="6"/>
        <v>157.95901639344262</v>
      </c>
      <c r="U26" s="25">
        <f t="shared" si="7"/>
        <v>-8748</v>
      </c>
      <c r="V26" s="27">
        <f t="shared" si="8"/>
        <v>0.96355000000000002</v>
      </c>
    </row>
    <row r="27" spans="2:22" ht="16.2" thickBot="1" x14ac:dyDescent="0.35">
      <c r="B27" s="4"/>
      <c r="C27" s="5" t="s">
        <v>23</v>
      </c>
      <c r="D27" s="19">
        <f>K35</f>
        <v>2165796</v>
      </c>
      <c r="E27" s="6"/>
      <c r="G27" s="12">
        <v>24</v>
      </c>
      <c r="H27" s="12">
        <f>JAN!J27+FEB!J27+MAR!J27+APR!J27+MAY!J27+JUNE!J27+JULY!J27+AUG!J27+SEP!J27+OCT!J27+NOV!J27+DEC!J27</f>
        <v>132000</v>
      </c>
      <c r="I27" s="12">
        <f>JAN!K27+FEB!K27+MAR!K27+APR!K27+MAY!K27+JUNE!K27+JULY!K27+AUG!K27+SEP!K27+OCT!K27+NOV!K27+DEC!K27</f>
        <v>408</v>
      </c>
      <c r="J27" s="24">
        <f t="shared" si="1"/>
        <v>323.52941176470586</v>
      </c>
      <c r="K27" s="12">
        <f>JAN!M27+FEB!M27+MAR!M27+APR!M27+MAY!M27+JUNE!M27+JULY!M27+AUG!M27+SEP!M27+OCT!M27+NOV!M27+DEC!M27</f>
        <v>67452</v>
      </c>
      <c r="L27" s="12">
        <f>JAN!N27+FEB!N27+MAR!N27+APR!N27+MAY!N27+JUNE!N27+JULY!N27+AUG!N27+SEP!N27+OCT!N27+NOV!N27+DEC!N27</f>
        <v>420</v>
      </c>
      <c r="M27" s="24">
        <f t="shared" si="2"/>
        <v>160.6</v>
      </c>
      <c r="N27" s="12">
        <f>JAN!P27+FEB!P27+MAR!P27+APR!P27+MAY!P27+JUNE!P27+JULY!P27+AUG!P27+SEP!P27+OCT!P27+NOV!P27+DEC!P27</f>
        <v>15048</v>
      </c>
      <c r="O27" s="12">
        <f>JAN!Q27+FEB!Q27+MAR!Q27+APR!Q27+MAY!Q27+JUNE!Q27+JULY!Q27+AUG!Q27+SEP!Q27+OCT!Q27+NOV!Q27+DEC!Q27</f>
        <v>432</v>
      </c>
      <c r="P27" s="24">
        <f t="shared" si="3"/>
        <v>34.833333333333336</v>
      </c>
      <c r="Q27" s="25">
        <f>JAN!S27+FEB!S27+MAR!S27+APR!S27+MAY!S27+JUNE!S27+JULY!S27+AUG!S27+SEP!S27+OCT!S27+NOV!S27+DEC!S27</f>
        <v>240000</v>
      </c>
      <c r="R27" s="25">
        <f t="shared" si="4"/>
        <v>214500</v>
      </c>
      <c r="S27" s="25">
        <f t="shared" si="5"/>
        <v>1260</v>
      </c>
      <c r="T27" s="26">
        <f t="shared" si="6"/>
        <v>170.23809523809524</v>
      </c>
      <c r="U27" s="25">
        <f t="shared" si="7"/>
        <v>-25500</v>
      </c>
      <c r="V27" s="27">
        <f t="shared" si="8"/>
        <v>0.89375000000000004</v>
      </c>
    </row>
    <row r="28" spans="2:22" ht="16.2" thickBot="1" x14ac:dyDescent="0.35">
      <c r="B28" s="4"/>
      <c r="C28" s="5" t="s">
        <v>8</v>
      </c>
      <c r="D28" s="19">
        <f>N35</f>
        <v>885168</v>
      </c>
      <c r="E28" s="6"/>
      <c r="G28" s="12">
        <v>25</v>
      </c>
      <c r="H28" s="12">
        <f>JAN!J28+FEB!J28+MAR!J28+APR!J28+MAY!J28+JUNE!J28+JULY!J28+AUG!J28+SEP!J28+OCT!J28+NOV!J28+DEC!J28</f>
        <v>132000</v>
      </c>
      <c r="I28" s="12">
        <f>JAN!K28+FEB!K28+MAR!K28+APR!K28+MAY!K28+JUNE!K28+JULY!K28+AUG!K28+SEP!K28+OCT!K28+NOV!K28+DEC!K28</f>
        <v>540</v>
      </c>
      <c r="J28" s="24">
        <f t="shared" si="1"/>
        <v>244.44444444444446</v>
      </c>
      <c r="K28" s="12">
        <f>JAN!M28+FEB!M28+MAR!M28+APR!M28+MAY!M28+JUNE!M28+JULY!M28+AUG!M28+SEP!M28+OCT!M28+NOV!M28+DEC!M28</f>
        <v>58272</v>
      </c>
      <c r="L28" s="12">
        <f>JAN!N28+FEB!N28+MAR!N28+APR!N28+MAY!N28+JUNE!N28+JULY!N28+AUG!N28+SEP!N28+OCT!N28+NOV!N28+DEC!N28</f>
        <v>600</v>
      </c>
      <c r="M28" s="24">
        <f t="shared" si="2"/>
        <v>97.12</v>
      </c>
      <c r="N28" s="12">
        <f>JAN!P28+FEB!P28+MAR!P28+APR!P28+MAY!P28+JUNE!P28+JULY!P28+AUG!P28+SEP!P28+OCT!P28+NOV!P28+DEC!P28</f>
        <v>17472</v>
      </c>
      <c r="O28" s="12">
        <f>JAN!Q28+FEB!Q28+MAR!Q28+APR!Q28+MAY!Q28+JUNE!Q28+JULY!Q28+AUG!Q28+SEP!Q28+OCT!Q28+NOV!Q28+DEC!Q28</f>
        <v>408</v>
      </c>
      <c r="P28" s="24">
        <f t="shared" si="3"/>
        <v>42.823529411764703</v>
      </c>
      <c r="Q28" s="25">
        <f>JAN!S28+FEB!S28+MAR!S28+APR!S28+MAY!S28+JUNE!S28+JULY!S28+AUG!S28+SEP!S28+OCT!S28+NOV!S28+DEC!S28</f>
        <v>240000</v>
      </c>
      <c r="R28" s="25">
        <f t="shared" si="4"/>
        <v>207744</v>
      </c>
      <c r="S28" s="25">
        <f t="shared" si="5"/>
        <v>1548</v>
      </c>
      <c r="T28" s="26">
        <f t="shared" si="6"/>
        <v>134.20155038759691</v>
      </c>
      <c r="U28" s="25">
        <f t="shared" si="7"/>
        <v>-32256</v>
      </c>
      <c r="V28" s="27">
        <f t="shared" si="8"/>
        <v>0.86560000000000004</v>
      </c>
    </row>
    <row r="29" spans="2:22" ht="16.2" thickBot="1" x14ac:dyDescent="0.35">
      <c r="B29" s="4"/>
      <c r="C29" s="5"/>
      <c r="D29" s="28"/>
      <c r="E29" s="6"/>
      <c r="G29" s="12">
        <v>26</v>
      </c>
      <c r="H29" s="12">
        <f>JAN!J29+FEB!J29+MAR!J29+APR!J29+MAY!J29+JUNE!J29+JULY!J29+AUG!J29+SEP!J29+OCT!J29+NOV!J29+DEC!J29</f>
        <v>120000</v>
      </c>
      <c r="I29" s="12">
        <f>JAN!K29+FEB!K29+MAR!K29+APR!K29+MAY!K29+JUNE!K29+JULY!K29+AUG!K29+SEP!K29+OCT!K29+NOV!K29+DEC!K29</f>
        <v>552</v>
      </c>
      <c r="J29" s="24">
        <f t="shared" si="1"/>
        <v>217.39130434782609</v>
      </c>
      <c r="K29" s="12">
        <f>JAN!M29+FEB!M29+MAR!M29+APR!M29+MAY!M29+JUNE!M29+JULY!M29+AUG!M29+SEP!M29+OCT!M29+NOV!M29+DEC!M29</f>
        <v>65052</v>
      </c>
      <c r="L29" s="12">
        <f>JAN!N29+FEB!N29+MAR!N29+APR!N29+MAY!N29+JUNE!N29+JULY!N29+AUG!N29+SEP!N29+OCT!N29+NOV!N29+DEC!N29</f>
        <v>480</v>
      </c>
      <c r="M29" s="24">
        <f t="shared" si="2"/>
        <v>135.52500000000001</v>
      </c>
      <c r="N29" s="12">
        <f>JAN!P29+FEB!P29+MAR!P29+APR!P29+MAY!P29+JUNE!P29+JULY!P29+AUG!P29+SEP!P29+OCT!P29+NOV!P29+DEC!P29</f>
        <v>30480</v>
      </c>
      <c r="O29" s="12">
        <f>JAN!Q29+FEB!Q29+MAR!Q29+APR!Q29+MAY!Q29+JUNE!Q29+JULY!Q29+AUG!Q29+SEP!Q29+OCT!Q29+NOV!Q29+DEC!Q29</f>
        <v>540</v>
      </c>
      <c r="P29" s="24">
        <f t="shared" si="3"/>
        <v>56.444444444444443</v>
      </c>
      <c r="Q29" s="25">
        <f>JAN!S29+FEB!S29+MAR!S29+APR!S29+MAY!S29+JUNE!S29+JULY!S29+AUG!S29+SEP!S29+OCT!S29+NOV!S29+DEC!S29</f>
        <v>240000</v>
      </c>
      <c r="R29" s="25">
        <f t="shared" si="4"/>
        <v>215532</v>
      </c>
      <c r="S29" s="25">
        <f t="shared" si="5"/>
        <v>1572</v>
      </c>
      <c r="T29" s="26">
        <f t="shared" si="6"/>
        <v>137.10687022900763</v>
      </c>
      <c r="U29" s="25">
        <f t="shared" si="7"/>
        <v>-24468</v>
      </c>
      <c r="V29" s="27">
        <f t="shared" si="8"/>
        <v>0.89805000000000001</v>
      </c>
    </row>
    <row r="30" spans="2:22" ht="16.2" thickBot="1" x14ac:dyDescent="0.35">
      <c r="B30" s="4"/>
      <c r="C30" s="5" t="s">
        <v>24</v>
      </c>
      <c r="D30" s="19">
        <f>SUM(D26:D28)</f>
        <v>7826964</v>
      </c>
      <c r="E30" s="6"/>
      <c r="G30" s="12">
        <v>27</v>
      </c>
      <c r="H30" s="12">
        <f>JAN!J30+FEB!J30+MAR!J30+APR!J30+MAY!J30+JUNE!J30+JULY!J30+AUG!J30+SEP!J30+OCT!J30+NOV!J30+DEC!J30</f>
        <v>192000</v>
      </c>
      <c r="I30" s="12">
        <f>JAN!K30+FEB!K30+MAR!K30+APR!K30+MAY!K30+JUNE!K30+JULY!K30+AUG!K30+SEP!K30+OCT!K30+NOV!K30+DEC!K30</f>
        <v>420</v>
      </c>
      <c r="J30" s="24">
        <f t="shared" si="1"/>
        <v>457.14285714285717</v>
      </c>
      <c r="K30" s="12">
        <f>JAN!M30+FEB!M30+MAR!M30+APR!M30+MAY!M30+JUNE!M30+JULY!M30+AUG!M30+SEP!M30+OCT!M30+NOV!M30+DEC!M30</f>
        <v>71544</v>
      </c>
      <c r="L30" s="12">
        <f>JAN!N30+FEB!N30+MAR!N30+APR!N30+MAY!N30+JUNE!N30+JULY!N30+AUG!N30+SEP!N30+OCT!N30+NOV!N30+DEC!N30</f>
        <v>432</v>
      </c>
      <c r="M30" s="24">
        <f t="shared" si="2"/>
        <v>165.61111111111111</v>
      </c>
      <c r="N30" s="12">
        <f>JAN!P30+FEB!P30+MAR!P30+APR!P30+MAY!P30+JUNE!P30+JULY!P30+AUG!P30+SEP!P30+OCT!P30+NOV!P30+DEC!P30</f>
        <v>31584</v>
      </c>
      <c r="O30" s="12">
        <f>JAN!Q30+FEB!Q30+MAR!Q30+APR!Q30+MAY!Q30+JUNE!Q30+JULY!Q30+AUG!Q30+SEP!Q30+OCT!Q30+NOV!Q30+DEC!Q30</f>
        <v>552</v>
      </c>
      <c r="P30" s="24">
        <f t="shared" si="3"/>
        <v>57.217391304347828</v>
      </c>
      <c r="Q30" s="25">
        <f>JAN!S30+FEB!S30+MAR!S30+APR!S30+MAY!S30+JUNE!S30+JULY!S30+AUG!S30+SEP!S30+OCT!S30+NOV!S30+DEC!S30</f>
        <v>240000</v>
      </c>
      <c r="R30" s="25">
        <f t="shared" si="4"/>
        <v>295128</v>
      </c>
      <c r="S30" s="25">
        <f t="shared" si="5"/>
        <v>1404</v>
      </c>
      <c r="T30" s="26">
        <f t="shared" si="6"/>
        <v>210.2051282051282</v>
      </c>
      <c r="U30" s="25">
        <f t="shared" si="7"/>
        <v>55128</v>
      </c>
      <c r="V30" s="27">
        <f t="shared" si="8"/>
        <v>1.2297</v>
      </c>
    </row>
    <row r="31" spans="2:22" ht="16.2" thickBot="1" x14ac:dyDescent="0.35">
      <c r="B31" s="4"/>
      <c r="C31" s="5" t="s">
        <v>25</v>
      </c>
      <c r="D31" s="20">
        <v>710023</v>
      </c>
      <c r="E31" s="6"/>
      <c r="G31" s="12">
        <v>28</v>
      </c>
      <c r="H31" s="12">
        <f>JAN!J31+FEB!J31+MAR!J31+APR!J31+MAY!J31+JUNE!J31+JULY!J31+AUG!J31+SEP!J31+OCT!J31+NOV!J31+DEC!J31</f>
        <v>144000</v>
      </c>
      <c r="I31" s="12">
        <f>JAN!K31+FEB!K31+MAR!K31+APR!K31+MAY!K31+JUNE!K31+JULY!K31+AUG!K31+SEP!K31+OCT!K31+NOV!K31+DEC!K31</f>
        <v>600</v>
      </c>
      <c r="J31" s="24">
        <f t="shared" si="1"/>
        <v>240</v>
      </c>
      <c r="K31" s="12">
        <f>JAN!M31+FEB!M31+MAR!M31+APR!M31+MAY!M31+JUNE!M31+JULY!M31+AUG!M31+SEP!M31+OCT!M31+NOV!M31+DEC!M31</f>
        <v>78252</v>
      </c>
      <c r="L31" s="12">
        <f>JAN!N31+FEB!N31+MAR!N31+APR!N31+MAY!N31+JUNE!N31+JULY!N31+AUG!N31+SEP!N31+OCT!N31+NOV!N31+DEC!N31</f>
        <v>408</v>
      </c>
      <c r="M31" s="24">
        <f t="shared" si="2"/>
        <v>191.79411764705881</v>
      </c>
      <c r="N31" s="12">
        <f>JAN!P31+FEB!P31+MAR!P31+APR!P31+MAY!P31+JUNE!P31+JULY!P31+AUG!P31+SEP!P31+OCT!P31+NOV!P31+DEC!P31</f>
        <v>13200</v>
      </c>
      <c r="O31" s="12">
        <f>JAN!Q31+FEB!Q31+MAR!Q31+APR!Q31+MAY!Q31+JUNE!Q31+JULY!Q31+AUG!Q31+SEP!Q31+OCT!Q31+NOV!Q31+DEC!Q31</f>
        <v>420</v>
      </c>
      <c r="P31" s="24">
        <f t="shared" si="3"/>
        <v>31.428571428571427</v>
      </c>
      <c r="Q31" s="25">
        <f>JAN!S31+FEB!S31+MAR!S31+APR!S31+MAY!S31+JUNE!S31+JULY!S31+AUG!S31+SEP!S31+OCT!S31+NOV!S31+DEC!S31</f>
        <v>240000</v>
      </c>
      <c r="R31" s="25">
        <f t="shared" si="4"/>
        <v>235452</v>
      </c>
      <c r="S31" s="25">
        <f t="shared" si="5"/>
        <v>1428</v>
      </c>
      <c r="T31" s="26">
        <f t="shared" si="6"/>
        <v>164.88235294117646</v>
      </c>
      <c r="U31" s="25">
        <f t="shared" si="7"/>
        <v>-4548</v>
      </c>
      <c r="V31" s="27">
        <f t="shared" si="8"/>
        <v>0.98104999999999998</v>
      </c>
    </row>
    <row r="32" spans="2:22" ht="16.2" thickBot="1" x14ac:dyDescent="0.35">
      <c r="B32" s="4"/>
      <c r="C32" s="5"/>
      <c r="D32" s="28"/>
      <c r="E32" s="6"/>
      <c r="G32" s="12">
        <v>29</v>
      </c>
      <c r="H32" s="12">
        <f>JAN!J32+FEB!J32+MAR!J32+APR!J32+MAY!J32+JUNE!J32+JULY!J32+AUG!J32+SEP!J32+OCT!J32+NOV!J32+DEC!J32</f>
        <v>132000</v>
      </c>
      <c r="I32" s="12">
        <f>JAN!K32+FEB!K32+MAR!K32+APR!K32+MAY!K32+JUNE!K32+JULY!K32+AUG!K32+SEP!K32+OCT!K32+NOV!K32+DEC!K32</f>
        <v>480</v>
      </c>
      <c r="J32" s="24">
        <f t="shared" si="1"/>
        <v>275</v>
      </c>
      <c r="K32" s="12">
        <f>JAN!M32+FEB!M32+MAR!M32+APR!M32+MAY!M32+JUNE!M32+JULY!M32+AUG!M32+SEP!M32+OCT!M32+NOV!M32+DEC!M32</f>
        <v>75852</v>
      </c>
      <c r="L32" s="12">
        <f>JAN!N32+FEB!N32+MAR!N32+APR!N32+MAY!N32+JUNE!N32+JULY!N32+AUG!N32+SEP!N32+OCT!N32+NOV!N32+DEC!N32</f>
        <v>540</v>
      </c>
      <c r="M32" s="24">
        <f t="shared" si="2"/>
        <v>140.46666666666667</v>
      </c>
      <c r="N32" s="12">
        <f>JAN!P32+FEB!P32+MAR!P32+APR!P32+MAY!P32+JUNE!P32+JULY!P32+AUG!P32+SEP!P32+OCT!P32+NOV!P32+DEC!P32</f>
        <v>18744</v>
      </c>
      <c r="O32" s="12">
        <f>JAN!Q32+FEB!Q32+MAR!Q32+APR!Q32+MAY!Q32+JUNE!Q32+JULY!Q32+AUG!Q32+SEP!Q32+OCT!Q32+NOV!Q32+DEC!Q32</f>
        <v>600</v>
      </c>
      <c r="P32" s="24">
        <f t="shared" si="3"/>
        <v>31.24</v>
      </c>
      <c r="Q32" s="25">
        <f>JAN!S32+FEB!S32+MAR!S32+APR!S32+MAY!S32+JUNE!S32+JULY!S32+AUG!S32+SEP!S32+OCT!S32+NOV!S32+DEC!S32</f>
        <v>240000</v>
      </c>
      <c r="R32" s="25">
        <f t="shared" si="4"/>
        <v>226596</v>
      </c>
      <c r="S32" s="25">
        <f t="shared" si="5"/>
        <v>1620</v>
      </c>
      <c r="T32" s="26">
        <f t="shared" si="6"/>
        <v>139.87407407407409</v>
      </c>
      <c r="U32" s="25">
        <f t="shared" si="7"/>
        <v>-13404</v>
      </c>
      <c r="V32" s="27">
        <f t="shared" si="8"/>
        <v>0.94415000000000004</v>
      </c>
    </row>
    <row r="33" spans="2:22" ht="16.2" thickBot="1" x14ac:dyDescent="0.35">
      <c r="B33" s="4"/>
      <c r="C33" s="5" t="s">
        <v>26</v>
      </c>
      <c r="D33" s="38">
        <f>D30-D31</f>
        <v>7116941</v>
      </c>
      <c r="E33" s="6"/>
      <c r="G33" s="12">
        <v>30</v>
      </c>
      <c r="H33" s="12">
        <f>JAN!J33+FEB!J33+MAR!J33+APR!J33+MAY!J33+JUNE!J33+JULY!J33+AUG!J33+SEP!J33+OCT!J33+NOV!J33+DEC!J33</f>
        <v>216000</v>
      </c>
      <c r="I33" s="12">
        <f>JAN!K33+FEB!K33+MAR!K33+APR!K33+MAY!K33+JUNE!K33+JULY!K33+AUG!K33+SEP!K33+OCT!K33+NOV!K33+DEC!K33</f>
        <v>432</v>
      </c>
      <c r="J33" s="24">
        <f t="shared" si="1"/>
        <v>500</v>
      </c>
      <c r="K33" s="12">
        <f>JAN!M33+FEB!M33+MAR!M33+APR!M33+MAY!M33+JUNE!M33+JULY!M33+AUG!M33+SEP!M33+OCT!M33+NOV!M33+DEC!M33</f>
        <v>78576</v>
      </c>
      <c r="L33" s="12">
        <f>JAN!N33+FEB!N33+MAR!N33+APR!N33+MAY!N33+JUNE!N33+JULY!N33+AUG!N33+SEP!N33+OCT!N33+NOV!N33+DEC!N33</f>
        <v>552</v>
      </c>
      <c r="M33" s="24">
        <f t="shared" si="2"/>
        <v>142.34782608695653</v>
      </c>
      <c r="N33" s="12">
        <f>JAN!P33+FEB!P33+MAR!P33+APR!P33+MAY!P33+JUNE!P33+JULY!P33+AUG!P33+SEP!P33+OCT!P33+NOV!P33+DEC!P33</f>
        <v>23940</v>
      </c>
      <c r="O33" s="12">
        <f>JAN!Q33+FEB!Q33+MAR!Q33+APR!Q33+MAY!Q33+JUNE!Q33+JULY!Q33+AUG!Q33+SEP!Q33+OCT!Q33+NOV!Q33+DEC!Q33</f>
        <v>480</v>
      </c>
      <c r="P33" s="24">
        <f t="shared" si="3"/>
        <v>49.875</v>
      </c>
      <c r="Q33" s="25">
        <f>JAN!S33+FEB!S33+MAR!S33+APR!S33+MAY!S33+JUNE!S33+JULY!S33+AUG!S33+SEP!S33+OCT!S33+NOV!S33+DEC!S33</f>
        <v>240000</v>
      </c>
      <c r="R33" s="25">
        <f t="shared" si="4"/>
        <v>318516</v>
      </c>
      <c r="S33" s="25">
        <f t="shared" si="5"/>
        <v>1464</v>
      </c>
      <c r="T33" s="26">
        <f t="shared" si="6"/>
        <v>217.5655737704918</v>
      </c>
      <c r="U33" s="25">
        <f t="shared" si="7"/>
        <v>78516</v>
      </c>
      <c r="V33" s="27">
        <f t="shared" si="8"/>
        <v>1.3271500000000001</v>
      </c>
    </row>
    <row r="34" spans="2:22" ht="16.2" thickBot="1" x14ac:dyDescent="0.35">
      <c r="B34" s="4"/>
      <c r="C34" s="5"/>
      <c r="D34" s="39">
        <f>(D30-D31)/D31</f>
        <v>10.023535857289129</v>
      </c>
      <c r="E34" s="6"/>
      <c r="G34" s="29">
        <v>31</v>
      </c>
      <c r="H34" s="12">
        <f>JAN!J34+FEB!J34+MAR!J34+APR!J34+MAY!J34+JUNE!J34+JULY!J34+AUG!J34+SEP!J34+OCT!J34+NOV!J34+DEC!J34</f>
        <v>204000</v>
      </c>
      <c r="I34" s="12">
        <f>JAN!K34+FEB!K34+MAR!K34+APR!K34+MAY!K34+JUNE!K34+JULY!K34+AUG!K34+SEP!K34+OCT!K34+NOV!K34+DEC!K34</f>
        <v>408</v>
      </c>
      <c r="J34" s="24">
        <f t="shared" si="1"/>
        <v>500</v>
      </c>
      <c r="K34" s="12">
        <f>JAN!M34+FEB!M34+MAR!M34+APR!M34+MAY!M34+JUNE!M34+JULY!M34+AUG!M34+SEP!M34+OCT!M34+NOV!M34+DEC!M34</f>
        <v>54144</v>
      </c>
      <c r="L34" s="12">
        <f>JAN!N34+FEB!N34+MAR!N34+APR!N34+MAY!N34+JUNE!N34+JULY!N34+AUG!N34+SEP!N34+OCT!N34+NOV!N34+DEC!N34</f>
        <v>252</v>
      </c>
      <c r="M34" s="24">
        <f t="shared" si="2"/>
        <v>214.85714285714286</v>
      </c>
      <c r="N34" s="12">
        <f>JAN!P34+FEB!P34+MAR!P34+APR!P34+MAY!P34+JUNE!P34+JULY!P34+AUG!P34+SEP!P34+OCT!P34+NOV!P34+DEC!P34</f>
        <v>28800</v>
      </c>
      <c r="O34" s="12">
        <f>JAN!Q34+FEB!Q34+MAR!Q34+APR!Q34+MAY!Q34+JUNE!Q34+JULY!Q34+AUG!Q34+SEP!Q34+OCT!Q34+NOV!Q34+DEC!Q34</f>
        <v>552</v>
      </c>
      <c r="P34" s="24">
        <f t="shared" si="3"/>
        <v>52.173913043478258</v>
      </c>
      <c r="Q34" s="25">
        <f>JAN!S34+FEB!S34+MAR!S34+APR!S34+MAY!S34+JUNE!S34+JULY!S34+AUG!S34+SEP!S34+OCT!S34+NOV!S34+DEC!S34</f>
        <v>240000</v>
      </c>
      <c r="R34" s="32">
        <f t="shared" si="4"/>
        <v>286944</v>
      </c>
      <c r="S34" s="32">
        <f>IF(R34="","",I34+L34+O34)</f>
        <v>1212</v>
      </c>
      <c r="T34" s="33">
        <f t="shared" si="6"/>
        <v>236.75247524752476</v>
      </c>
      <c r="U34" s="32">
        <f t="shared" si="7"/>
        <v>46944</v>
      </c>
      <c r="V34" s="34">
        <f t="shared" si="8"/>
        <v>1.1956</v>
      </c>
    </row>
    <row r="35" spans="2:22" ht="38.4" customHeight="1" thickBot="1" x14ac:dyDescent="0.45">
      <c r="B35" s="7"/>
      <c r="C35" s="8"/>
      <c r="D35" s="8"/>
      <c r="E35" s="9"/>
      <c r="G35" s="50" t="s">
        <v>42</v>
      </c>
      <c r="H35" s="51">
        <f>SUM(H4:H34)</f>
        <v>4776000</v>
      </c>
      <c r="I35" s="52">
        <f>SUM(I4:I34)</f>
        <v>14592</v>
      </c>
      <c r="J35" s="53"/>
      <c r="K35" s="52">
        <f>SUM(K4:K34)</f>
        <v>2165796</v>
      </c>
      <c r="L35" s="52">
        <f>SUM(L4:L34)</f>
        <v>14556</v>
      </c>
      <c r="M35" s="53"/>
      <c r="N35" s="52">
        <f>SUM(N4:N34)</f>
        <v>885168</v>
      </c>
      <c r="O35" s="52">
        <f>SUM(O4:O34)</f>
        <v>14856</v>
      </c>
      <c r="P35" s="53"/>
      <c r="Q35" s="51">
        <f>SUM(Q4:Q34)</f>
        <v>7440000</v>
      </c>
      <c r="R35" s="51">
        <f>SUM(R4:R34)</f>
        <v>7826964</v>
      </c>
      <c r="S35" s="52">
        <f>SUM(S4:S34)</f>
        <v>44004</v>
      </c>
      <c r="T35" s="53"/>
      <c r="U35" s="52">
        <f>SUM(U4:U34)</f>
        <v>386964</v>
      </c>
      <c r="V35" s="53"/>
    </row>
  </sheetData>
  <mergeCells count="2">
    <mergeCell ref="G2:P2"/>
    <mergeCell ref="Q2:V2"/>
  </mergeCells>
  <conditionalFormatting sqref="D20">
    <cfRule type="cellIs" dxfId="3" priority="1" operator="equal">
      <formula>"No"</formula>
    </cfRule>
    <cfRule type="cellIs" dxfId="2" priority="2" operator="equal">
      <formula>"Yes"</formula>
    </cfRule>
  </conditionalFormatting>
  <conditionalFormatting sqref="D33:D34">
    <cfRule type="cellIs" dxfId="1" priority="3" operator="lessThan">
      <formula>0</formula>
    </cfRule>
    <cfRule type="cellIs" dxfId="0" priority="4" operator="greaterThan">
      <formula>0</formula>
    </cfRule>
  </conditionalFormatting>
  <dataValidations count="2">
    <dataValidation type="list" allowBlank="1" showInputMessage="1" showErrorMessage="1" sqref="D3" xr:uid="{B568DF3A-E690-4644-9FCB-EEF9FC76F059}">
      <formula1>"January, February, March, April, May, June, July, August, September, October, November, December"</formula1>
    </dataValidation>
    <dataValidation type="list" allowBlank="1" showInputMessage="1" showErrorMessage="1" sqref="D5" xr:uid="{71BA015F-C17C-4B88-B49F-F97B9CFB7D81}">
      <formula1>"2025, 2026, 2027, 2028, 2029, 2030, 2031, 2032, 2033"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2025-12-16T14:30:13Z</dcterms:created>
  <dcterms:modified xsi:type="dcterms:W3CDTF">2025-12-17T04:59:05Z</dcterms:modified>
</cp:coreProperties>
</file>